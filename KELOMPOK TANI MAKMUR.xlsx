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tpln365-my.sharepoint.com/personal/fathur_rohim_ptpln365_onmicrosoft_com/Documents/Dokumen/"/>
    </mc:Choice>
  </mc:AlternateContent>
  <xr:revisionPtr revIDLastSave="0" documentId="8_{1A7FD76C-2722-4B2E-9305-41F5F5EF91B1}" xr6:coauthVersionLast="47" xr6:coauthVersionMax="47" xr10:uidLastSave="{00000000-0000-0000-0000-000000000000}"/>
  <bookViews>
    <workbookView xWindow="-120" yWindow="-120" windowWidth="29040" windowHeight="15720" xr2:uid="{36406FC1-4B2A-4B7C-9FCB-963D7D4A46F4}"/>
  </bookViews>
  <sheets>
    <sheet name="25-2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95" i="1" l="1"/>
  <c r="F1295" i="1"/>
  <c r="E1295" i="1"/>
  <c r="I1294" i="1"/>
  <c r="B1294" i="1"/>
  <c r="E1231" i="1"/>
  <c r="H1183" i="1"/>
  <c r="G1183" i="1"/>
  <c r="F1183" i="1"/>
  <c r="E1183" i="1"/>
  <c r="I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E1119" i="1"/>
  <c r="H1071" i="1"/>
  <c r="G1071" i="1"/>
  <c r="F1071" i="1"/>
  <c r="E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E1008" i="1"/>
  <c r="H960" i="1"/>
  <c r="G960" i="1"/>
  <c r="F960" i="1"/>
  <c r="E960" i="1"/>
  <c r="E897" i="1"/>
  <c r="H849" i="1"/>
  <c r="G849" i="1"/>
  <c r="F849" i="1"/>
  <c r="E849" i="1"/>
  <c r="E785" i="1"/>
  <c r="H737" i="1"/>
  <c r="G737" i="1"/>
  <c r="F737" i="1"/>
  <c r="E737" i="1"/>
  <c r="B736" i="1"/>
  <c r="E673" i="1"/>
  <c r="H625" i="1"/>
  <c r="G625" i="1"/>
  <c r="F625" i="1"/>
  <c r="E625" i="1"/>
  <c r="I624" i="1"/>
  <c r="E561" i="1"/>
  <c r="H513" i="1"/>
  <c r="G513" i="1"/>
  <c r="F513" i="1"/>
  <c r="E513" i="1"/>
  <c r="E450" i="1"/>
  <c r="H402" i="1"/>
  <c r="G402" i="1"/>
  <c r="F402" i="1"/>
  <c r="E402" i="1"/>
  <c r="E339" i="1"/>
  <c r="H291" i="1"/>
  <c r="G291" i="1"/>
  <c r="F291" i="1"/>
  <c r="E291" i="1"/>
  <c r="C290" i="1"/>
  <c r="B290" i="1"/>
  <c r="C289" i="1"/>
  <c r="B289" i="1"/>
  <c r="E228" i="1"/>
  <c r="H182" i="1"/>
  <c r="G182" i="1"/>
  <c r="F182" i="1"/>
  <c r="E182" i="1"/>
  <c r="B135" i="1"/>
  <c r="B124" i="1"/>
  <c r="B117" i="1"/>
  <c r="E116" i="1"/>
  <c r="H70" i="1"/>
  <c r="G70" i="1"/>
  <c r="F70" i="1"/>
  <c r="E70" i="1"/>
  <c r="I69" i="1"/>
  <c r="B69" i="1"/>
  <c r="C64" i="1"/>
  <c r="B64" i="1"/>
  <c r="I63" i="1"/>
  <c r="D63" i="1"/>
  <c r="B63" i="1"/>
  <c r="I62" i="1"/>
  <c r="D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D52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D45" i="1"/>
  <c r="C45" i="1"/>
  <c r="B45" i="1"/>
  <c r="C44" i="1"/>
  <c r="B44" i="1"/>
  <c r="C43" i="1"/>
  <c r="B43" i="1"/>
  <c r="C42" i="1"/>
  <c r="B42" i="1"/>
  <c r="D41" i="1"/>
  <c r="C41" i="1"/>
  <c r="B41" i="1"/>
  <c r="C40" i="1"/>
  <c r="B40" i="1"/>
  <c r="C39" i="1"/>
  <c r="B39" i="1"/>
  <c r="C38" i="1"/>
  <c r="B38" i="1"/>
  <c r="C37" i="1"/>
  <c r="B37" i="1"/>
  <c r="C36" i="1"/>
  <c r="B36" i="1"/>
  <c r="I35" i="1"/>
  <c r="D35" i="1"/>
  <c r="B35" i="1"/>
  <c r="C34" i="1"/>
  <c r="B34" i="1"/>
  <c r="C33" i="1"/>
  <c r="B33" i="1"/>
  <c r="C32" i="1"/>
  <c r="B32" i="1"/>
  <c r="C31" i="1"/>
  <c r="B31" i="1"/>
  <c r="I30" i="1"/>
  <c r="D30" i="1"/>
  <c r="B30" i="1"/>
  <c r="C29" i="1"/>
  <c r="B29" i="1"/>
  <c r="I28" i="1"/>
  <c r="D28" i="1"/>
  <c r="B28" i="1"/>
  <c r="C27" i="1"/>
  <c r="B27" i="1"/>
  <c r="I26" i="1"/>
  <c r="D26" i="1"/>
  <c r="B26" i="1"/>
  <c r="D25" i="1"/>
  <c r="C25" i="1"/>
  <c r="B25" i="1"/>
  <c r="C24" i="1"/>
  <c r="B24" i="1"/>
  <c r="C23" i="1"/>
  <c r="I22" i="1"/>
  <c r="D22" i="1"/>
  <c r="B22" i="1"/>
  <c r="I21" i="1"/>
  <c r="D21" i="1"/>
  <c r="B21" i="1"/>
  <c r="C20" i="1"/>
  <c r="B20" i="1"/>
  <c r="C19" i="1"/>
  <c r="B19" i="1"/>
  <c r="C18" i="1"/>
  <c r="B18" i="1"/>
  <c r="C17" i="1"/>
  <c r="B17" i="1"/>
  <c r="C16" i="1"/>
  <c r="B16" i="1"/>
  <c r="D15" i="1"/>
  <c r="C15" i="1"/>
  <c r="B15" i="1"/>
  <c r="C14" i="1"/>
  <c r="B14" i="1"/>
  <c r="C13" i="1"/>
  <c r="B13" i="1"/>
  <c r="C12" i="1"/>
  <c r="C11" i="1"/>
  <c r="B11" i="1"/>
  <c r="C10" i="1"/>
  <c r="B10" i="1"/>
  <c r="I9" i="1"/>
  <c r="D9" i="1"/>
  <c r="B9" i="1"/>
  <c r="C8" i="1"/>
  <c r="B8" i="1"/>
  <c r="I7" i="1"/>
  <c r="D7" i="1"/>
  <c r="B7" i="1"/>
  <c r="C6" i="1"/>
  <c r="B6" i="1"/>
  <c r="I5" i="1"/>
  <c r="D5" i="1"/>
  <c r="E4" i="1"/>
  <c r="B1293" i="1" l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F1231" i="1"/>
  <c r="G1231" i="1" s="1"/>
  <c r="H1231" i="1" s="1"/>
  <c r="I1231" i="1" s="1"/>
  <c r="F116" i="1"/>
  <c r="G116" i="1" s="1"/>
  <c r="D64" i="1"/>
  <c r="I60" i="1"/>
  <c r="C172" i="1" s="1"/>
  <c r="I58" i="1"/>
  <c r="C170" i="1" s="1"/>
  <c r="I52" i="1"/>
  <c r="C164" i="1" s="1"/>
  <c r="I42" i="1"/>
  <c r="C154" i="1" s="1"/>
  <c r="D39" i="1"/>
  <c r="D37" i="1"/>
  <c r="D36" i="1"/>
  <c r="I34" i="1"/>
  <c r="C146" i="1" s="1"/>
  <c r="D34" i="1"/>
  <c r="I27" i="1"/>
  <c r="C139" i="1" s="1"/>
  <c r="D27" i="1"/>
  <c r="I25" i="1"/>
  <c r="C137" i="1" s="1"/>
  <c r="I24" i="1"/>
  <c r="C136" i="1" s="1"/>
  <c r="D23" i="1"/>
  <c r="I19" i="1"/>
  <c r="C131" i="1" s="1"/>
  <c r="I18" i="1"/>
  <c r="C130" i="1" s="1"/>
  <c r="I13" i="1"/>
  <c r="C125" i="1" s="1"/>
  <c r="I11" i="1"/>
  <c r="C123" i="1" s="1"/>
  <c r="D123" i="1" s="1"/>
  <c r="I10" i="1"/>
  <c r="C122" i="1" s="1"/>
  <c r="B1131" i="1"/>
  <c r="B1243" i="1" s="1"/>
  <c r="B1130" i="1"/>
  <c r="B1242" i="1" s="1"/>
  <c r="B1129" i="1"/>
  <c r="B1241" i="1" s="1"/>
  <c r="B1128" i="1"/>
  <c r="B1240" i="1" s="1"/>
  <c r="B1127" i="1"/>
  <c r="B1239" i="1" s="1"/>
  <c r="B1126" i="1"/>
  <c r="B1238" i="1" s="1"/>
  <c r="B1125" i="1"/>
  <c r="B1237" i="1" s="1"/>
  <c r="B1124" i="1"/>
  <c r="B1236" i="1" s="1"/>
  <c r="B1123" i="1"/>
  <c r="B1235" i="1" s="1"/>
  <c r="B1122" i="1"/>
  <c r="B1234" i="1" s="1"/>
  <c r="B1121" i="1"/>
  <c r="B1233" i="1" s="1"/>
  <c r="B1120" i="1"/>
  <c r="B1232" i="1" s="1"/>
  <c r="F1119" i="1"/>
  <c r="G1119" i="1" s="1"/>
  <c r="H1119" i="1" s="1"/>
  <c r="I1119" i="1" s="1"/>
  <c r="F1008" i="1"/>
  <c r="G1008" i="1" s="1"/>
  <c r="H1008" i="1" s="1"/>
  <c r="I1008" i="1" s="1"/>
  <c r="H116" i="1"/>
  <c r="I116" i="1" s="1"/>
  <c r="D48" i="1"/>
  <c r="D40" i="1"/>
  <c r="I38" i="1"/>
  <c r="C150" i="1" s="1"/>
  <c r="I12" i="1"/>
  <c r="C124" i="1" s="1"/>
  <c r="D8" i="1"/>
  <c r="F897" i="1"/>
  <c r="G897" i="1" s="1"/>
  <c r="H897" i="1" s="1"/>
  <c r="I897" i="1" s="1"/>
  <c r="B848" i="1"/>
  <c r="F785" i="1"/>
  <c r="G785" i="1" s="1"/>
  <c r="H785" i="1" s="1"/>
  <c r="I785" i="1" s="1"/>
  <c r="C736" i="1"/>
  <c r="C134" i="1"/>
  <c r="B134" i="1"/>
  <c r="B246" i="1" s="1"/>
  <c r="B132" i="1"/>
  <c r="B244" i="1" s="1"/>
  <c r="B131" i="1"/>
  <c r="B243" i="1" s="1"/>
  <c r="I130" i="1"/>
  <c r="C242" i="1" s="1"/>
  <c r="B129" i="1"/>
  <c r="B241" i="1" s="1"/>
  <c r="B126" i="1"/>
  <c r="B238" i="1" s="1"/>
  <c r="B125" i="1"/>
  <c r="B237" i="1" s="1"/>
  <c r="I123" i="1"/>
  <c r="C235" i="1" s="1"/>
  <c r="B123" i="1"/>
  <c r="B235" i="1" s="1"/>
  <c r="B122" i="1"/>
  <c r="B234" i="1" s="1"/>
  <c r="B121" i="1"/>
  <c r="B233" i="1" s="1"/>
  <c r="B120" i="1"/>
  <c r="B232" i="1" s="1"/>
  <c r="B118" i="1"/>
  <c r="B230" i="1" s="1"/>
  <c r="I61" i="1"/>
  <c r="C173" i="1" s="1"/>
  <c r="D61" i="1"/>
  <c r="D60" i="1"/>
  <c r="D58" i="1"/>
  <c r="I57" i="1"/>
  <c r="C169" i="1" s="1"/>
  <c r="I56" i="1"/>
  <c r="C168" i="1" s="1"/>
  <c r="I54" i="1"/>
  <c r="C166" i="1" s="1"/>
  <c r="I53" i="1"/>
  <c r="C165" i="1" s="1"/>
  <c r="I51" i="1"/>
  <c r="C163" i="1" s="1"/>
  <c r="D51" i="1"/>
  <c r="I49" i="1"/>
  <c r="C161" i="1" s="1"/>
  <c r="I48" i="1"/>
  <c r="C160" i="1" s="1"/>
  <c r="D47" i="1"/>
  <c r="D46" i="1"/>
  <c r="D44" i="1"/>
  <c r="I41" i="1"/>
  <c r="C153" i="1" s="1"/>
  <c r="I39" i="1"/>
  <c r="C151" i="1" s="1"/>
  <c r="D38" i="1"/>
  <c r="I37" i="1"/>
  <c r="C149" i="1" s="1"/>
  <c r="I36" i="1"/>
  <c r="C148" i="1" s="1"/>
  <c r="D33" i="1"/>
  <c r="I32" i="1"/>
  <c r="C144" i="1" s="1"/>
  <c r="D31" i="1"/>
  <c r="D29" i="1"/>
  <c r="D24" i="1"/>
  <c r="I20" i="1"/>
  <c r="C132" i="1" s="1"/>
  <c r="D18" i="1"/>
  <c r="I17" i="1"/>
  <c r="C129" i="1" s="1"/>
  <c r="D129" i="1" s="1"/>
  <c r="D17" i="1"/>
  <c r="D13" i="1"/>
  <c r="D12" i="1"/>
  <c r="D11" i="1"/>
  <c r="F673" i="1"/>
  <c r="G673" i="1" s="1"/>
  <c r="H673" i="1" s="1"/>
  <c r="I673" i="1" s="1"/>
  <c r="F561" i="1"/>
  <c r="G561" i="1" s="1"/>
  <c r="H561" i="1" s="1"/>
  <c r="I561" i="1" s="1"/>
  <c r="B133" i="1"/>
  <c r="B245" i="1" s="1"/>
  <c r="D131" i="1"/>
  <c r="D130" i="1"/>
  <c r="I129" i="1"/>
  <c r="C241" i="1" s="1"/>
  <c r="D124" i="1"/>
  <c r="I122" i="1"/>
  <c r="C234" i="1" s="1"/>
  <c r="C119" i="1"/>
  <c r="I59" i="1"/>
  <c r="C171" i="1" s="1"/>
  <c r="D59" i="1"/>
  <c r="D57" i="1"/>
  <c r="D56" i="1"/>
  <c r="I55" i="1"/>
  <c r="C167" i="1" s="1"/>
  <c r="D55" i="1"/>
  <c r="D54" i="1"/>
  <c r="D50" i="1"/>
  <c r="I40" i="1"/>
  <c r="C152" i="1" s="1"/>
  <c r="I29" i="1"/>
  <c r="C141" i="1" s="1"/>
  <c r="I16" i="1"/>
  <c r="C128" i="1" s="1"/>
  <c r="D128" i="1" s="1"/>
  <c r="I15" i="1"/>
  <c r="C127" i="1" s="1"/>
  <c r="D127" i="1" s="1"/>
  <c r="I14" i="1"/>
  <c r="C126" i="1" s="1"/>
  <c r="I6" i="1"/>
  <c r="C118" i="1" s="1"/>
  <c r="I118" i="1" s="1"/>
  <c r="C230" i="1" s="1"/>
  <c r="F450" i="1"/>
  <c r="G450" i="1" s="1"/>
  <c r="H450" i="1" s="1"/>
  <c r="I450" i="1" s="1"/>
  <c r="B401" i="1"/>
  <c r="B512" i="1" s="1"/>
  <c r="B623" i="1" s="1"/>
  <c r="B735" i="1" s="1"/>
  <c r="B847" i="1" s="1"/>
  <c r="B400" i="1"/>
  <c r="B511" i="1" s="1"/>
  <c r="B622" i="1" s="1"/>
  <c r="B734" i="1" s="1"/>
  <c r="B846" i="1" s="1"/>
  <c r="B357" i="1"/>
  <c r="B468" i="1" s="1"/>
  <c r="B579" i="1" s="1"/>
  <c r="B691" i="1" s="1"/>
  <c r="B803" i="1" s="1"/>
  <c r="B356" i="1"/>
  <c r="B467" i="1" s="1"/>
  <c r="B578" i="1" s="1"/>
  <c r="B690" i="1" s="1"/>
  <c r="B802" i="1" s="1"/>
  <c r="B355" i="1"/>
  <c r="B466" i="1" s="1"/>
  <c r="B577" i="1" s="1"/>
  <c r="B689" i="1" s="1"/>
  <c r="B801" i="1" s="1"/>
  <c r="B354" i="1"/>
  <c r="B465" i="1" s="1"/>
  <c r="B576" i="1" s="1"/>
  <c r="B688" i="1" s="1"/>
  <c r="B800" i="1" s="1"/>
  <c r="B352" i="1"/>
  <c r="B463" i="1" s="1"/>
  <c r="B574" i="1" s="1"/>
  <c r="B686" i="1" s="1"/>
  <c r="B798" i="1" s="1"/>
  <c r="B349" i="1"/>
  <c r="B460" i="1" s="1"/>
  <c r="B571" i="1" s="1"/>
  <c r="B683" i="1" s="1"/>
  <c r="B795" i="1" s="1"/>
  <c r="B348" i="1"/>
  <c r="B459" i="1" s="1"/>
  <c r="B570" i="1" s="1"/>
  <c r="B682" i="1" s="1"/>
  <c r="B794" i="1" s="1"/>
  <c r="B346" i="1"/>
  <c r="B457" i="1" s="1"/>
  <c r="B568" i="1" s="1"/>
  <c r="B680" i="1" s="1"/>
  <c r="B792" i="1" s="1"/>
  <c r="B345" i="1"/>
  <c r="B456" i="1" s="1"/>
  <c r="B567" i="1" s="1"/>
  <c r="B679" i="1" s="1"/>
  <c r="B791" i="1" s="1"/>
  <c r="B344" i="1"/>
  <c r="B455" i="1" s="1"/>
  <c r="B566" i="1" s="1"/>
  <c r="B678" i="1" s="1"/>
  <c r="B790" i="1" s="1"/>
  <c r="B343" i="1"/>
  <c r="B454" i="1" s="1"/>
  <c r="B565" i="1" s="1"/>
  <c r="B677" i="1" s="1"/>
  <c r="B789" i="1" s="1"/>
  <c r="B341" i="1"/>
  <c r="B452" i="1" s="1"/>
  <c r="B563" i="1" s="1"/>
  <c r="B675" i="1" s="1"/>
  <c r="B787" i="1" s="1"/>
  <c r="F339" i="1"/>
  <c r="G339" i="1" s="1"/>
  <c r="H339" i="1" s="1"/>
  <c r="I339" i="1" s="1"/>
  <c r="I290" i="1"/>
  <c r="C401" i="1" s="1"/>
  <c r="D290" i="1"/>
  <c r="I289" i="1"/>
  <c r="C400" i="1" s="1"/>
  <c r="D289" i="1"/>
  <c r="B247" i="1"/>
  <c r="B358" i="1" s="1"/>
  <c r="B469" i="1" s="1"/>
  <c r="B580" i="1" s="1"/>
  <c r="B692" i="1" s="1"/>
  <c r="B804" i="1" s="1"/>
  <c r="I242" i="1"/>
  <c r="C353" i="1" s="1"/>
  <c r="D242" i="1"/>
  <c r="I241" i="1"/>
  <c r="C352" i="1" s="1"/>
  <c r="D241" i="1"/>
  <c r="B236" i="1"/>
  <c r="B347" i="1" s="1"/>
  <c r="B458" i="1" s="1"/>
  <c r="B569" i="1" s="1"/>
  <c r="B681" i="1" s="1"/>
  <c r="B793" i="1" s="1"/>
  <c r="I235" i="1"/>
  <c r="C346" i="1" s="1"/>
  <c r="I234" i="1"/>
  <c r="C345" i="1" s="1"/>
  <c r="D234" i="1"/>
  <c r="I230" i="1"/>
  <c r="C341" i="1" s="1"/>
  <c r="D230" i="1"/>
  <c r="B229" i="1"/>
  <c r="B340" i="1" s="1"/>
  <c r="B451" i="1" s="1"/>
  <c r="B562" i="1" s="1"/>
  <c r="B674" i="1" s="1"/>
  <c r="B786" i="1" s="1"/>
  <c r="F228" i="1"/>
  <c r="G228" i="1" s="1"/>
  <c r="H228" i="1" s="1"/>
  <c r="I228" i="1" s="1"/>
  <c r="B176" i="1"/>
  <c r="B288" i="1" s="1"/>
  <c r="B399" i="1" s="1"/>
  <c r="B510" i="1" s="1"/>
  <c r="B621" i="1" s="1"/>
  <c r="B733" i="1" s="1"/>
  <c r="B845" i="1" s="1"/>
  <c r="C175" i="1"/>
  <c r="B175" i="1"/>
  <c r="B287" i="1" s="1"/>
  <c r="B398" i="1" s="1"/>
  <c r="B509" i="1" s="1"/>
  <c r="B620" i="1" s="1"/>
  <c r="B732" i="1" s="1"/>
  <c r="B844" i="1" s="1"/>
  <c r="C174" i="1"/>
  <c r="B174" i="1"/>
  <c r="B286" i="1" s="1"/>
  <c r="B397" i="1" s="1"/>
  <c r="B508" i="1" s="1"/>
  <c r="B619" i="1" s="1"/>
  <c r="B731" i="1" s="1"/>
  <c r="B843" i="1" s="1"/>
  <c r="I173" i="1"/>
  <c r="C285" i="1" s="1"/>
  <c r="D173" i="1"/>
  <c r="B173" i="1"/>
  <c r="B285" i="1" s="1"/>
  <c r="B396" i="1" s="1"/>
  <c r="B507" i="1" s="1"/>
  <c r="B618" i="1" s="1"/>
  <c r="B730" i="1" s="1"/>
  <c r="B842" i="1" s="1"/>
  <c r="I172" i="1"/>
  <c r="C284" i="1" s="1"/>
  <c r="D172" i="1"/>
  <c r="B172" i="1"/>
  <c r="B284" i="1" s="1"/>
  <c r="B395" i="1" s="1"/>
  <c r="B506" i="1" s="1"/>
  <c r="B617" i="1" s="1"/>
  <c r="B729" i="1" s="1"/>
  <c r="B841" i="1" s="1"/>
  <c r="I171" i="1"/>
  <c r="C283" i="1" s="1"/>
  <c r="D171" i="1"/>
  <c r="B171" i="1"/>
  <c r="B283" i="1" s="1"/>
  <c r="B394" i="1" s="1"/>
  <c r="B505" i="1" s="1"/>
  <c r="B616" i="1" s="1"/>
  <c r="B728" i="1" s="1"/>
  <c r="B840" i="1" s="1"/>
  <c r="I170" i="1"/>
  <c r="C282" i="1" s="1"/>
  <c r="D170" i="1"/>
  <c r="B170" i="1"/>
  <c r="B282" i="1" s="1"/>
  <c r="B393" i="1" s="1"/>
  <c r="B504" i="1" s="1"/>
  <c r="B615" i="1" s="1"/>
  <c r="B727" i="1" s="1"/>
  <c r="B839" i="1" s="1"/>
  <c r="I169" i="1"/>
  <c r="C281" i="1" s="1"/>
  <c r="D169" i="1"/>
  <c r="B169" i="1"/>
  <c r="B281" i="1" s="1"/>
  <c r="B392" i="1" s="1"/>
  <c r="B503" i="1" s="1"/>
  <c r="B614" i="1" s="1"/>
  <c r="B726" i="1" s="1"/>
  <c r="B838" i="1" s="1"/>
  <c r="I168" i="1"/>
  <c r="C280" i="1" s="1"/>
  <c r="D168" i="1"/>
  <c r="B168" i="1"/>
  <c r="B280" i="1" s="1"/>
  <c r="B391" i="1" s="1"/>
  <c r="B502" i="1" s="1"/>
  <c r="B613" i="1" s="1"/>
  <c r="B725" i="1" s="1"/>
  <c r="B837" i="1" s="1"/>
  <c r="I167" i="1"/>
  <c r="C279" i="1" s="1"/>
  <c r="D167" i="1"/>
  <c r="B167" i="1"/>
  <c r="B279" i="1" s="1"/>
  <c r="B390" i="1" s="1"/>
  <c r="B501" i="1" s="1"/>
  <c r="B612" i="1" s="1"/>
  <c r="B724" i="1" s="1"/>
  <c r="B836" i="1" s="1"/>
  <c r="I166" i="1"/>
  <c r="C278" i="1" s="1"/>
  <c r="D166" i="1"/>
  <c r="B166" i="1"/>
  <c r="B278" i="1" s="1"/>
  <c r="B389" i="1" s="1"/>
  <c r="B500" i="1" s="1"/>
  <c r="B611" i="1" s="1"/>
  <c r="B723" i="1" s="1"/>
  <c r="B835" i="1" s="1"/>
  <c r="B165" i="1"/>
  <c r="B277" i="1" s="1"/>
  <c r="B388" i="1" s="1"/>
  <c r="B499" i="1" s="1"/>
  <c r="B610" i="1" s="1"/>
  <c r="B722" i="1" s="1"/>
  <c r="B834" i="1" s="1"/>
  <c r="B164" i="1"/>
  <c r="B276" i="1" s="1"/>
  <c r="B387" i="1" s="1"/>
  <c r="B498" i="1" s="1"/>
  <c r="B609" i="1" s="1"/>
  <c r="B721" i="1" s="1"/>
  <c r="B833" i="1" s="1"/>
  <c r="B163" i="1"/>
  <c r="B275" i="1" s="1"/>
  <c r="B386" i="1" s="1"/>
  <c r="B497" i="1" s="1"/>
  <c r="B608" i="1" s="1"/>
  <c r="B720" i="1" s="1"/>
  <c r="B832" i="1" s="1"/>
  <c r="B162" i="1"/>
  <c r="B274" i="1" s="1"/>
  <c r="B385" i="1" s="1"/>
  <c r="B496" i="1" s="1"/>
  <c r="B607" i="1" s="1"/>
  <c r="B719" i="1" s="1"/>
  <c r="B831" i="1" s="1"/>
  <c r="B161" i="1"/>
  <c r="B273" i="1" s="1"/>
  <c r="B384" i="1" s="1"/>
  <c r="B495" i="1" s="1"/>
  <c r="B606" i="1" s="1"/>
  <c r="B718" i="1" s="1"/>
  <c r="B830" i="1" s="1"/>
  <c r="B160" i="1"/>
  <c r="B272" i="1" s="1"/>
  <c r="B383" i="1" s="1"/>
  <c r="B494" i="1" s="1"/>
  <c r="B605" i="1" s="1"/>
  <c r="B717" i="1" s="1"/>
  <c r="B829" i="1" s="1"/>
  <c r="B159" i="1"/>
  <c r="B271" i="1" s="1"/>
  <c r="B382" i="1" s="1"/>
  <c r="B493" i="1" s="1"/>
  <c r="B604" i="1" s="1"/>
  <c r="B716" i="1" s="1"/>
  <c r="B828" i="1" s="1"/>
  <c r="B158" i="1"/>
  <c r="B270" i="1" s="1"/>
  <c r="B381" i="1" s="1"/>
  <c r="B492" i="1" s="1"/>
  <c r="B603" i="1" s="1"/>
  <c r="B715" i="1" s="1"/>
  <c r="B827" i="1" s="1"/>
  <c r="B157" i="1"/>
  <c r="B269" i="1" s="1"/>
  <c r="B380" i="1" s="1"/>
  <c r="B491" i="1" s="1"/>
  <c r="B602" i="1" s="1"/>
  <c r="B714" i="1" s="1"/>
  <c r="B826" i="1" s="1"/>
  <c r="B156" i="1"/>
  <c r="B268" i="1" s="1"/>
  <c r="B379" i="1" s="1"/>
  <c r="B490" i="1" s="1"/>
  <c r="B601" i="1" s="1"/>
  <c r="B713" i="1" s="1"/>
  <c r="B825" i="1" s="1"/>
  <c r="B155" i="1"/>
  <c r="B267" i="1" s="1"/>
  <c r="B378" i="1" s="1"/>
  <c r="B489" i="1" s="1"/>
  <c r="B600" i="1" s="1"/>
  <c r="B712" i="1" s="1"/>
  <c r="B824" i="1" s="1"/>
  <c r="B154" i="1"/>
  <c r="B266" i="1" s="1"/>
  <c r="B377" i="1" s="1"/>
  <c r="B488" i="1" s="1"/>
  <c r="B599" i="1" s="1"/>
  <c r="B711" i="1" s="1"/>
  <c r="B823" i="1" s="1"/>
  <c r="B153" i="1"/>
  <c r="B265" i="1" s="1"/>
  <c r="B376" i="1" s="1"/>
  <c r="B487" i="1" s="1"/>
  <c r="B598" i="1" s="1"/>
  <c r="B710" i="1" s="1"/>
  <c r="B822" i="1" s="1"/>
  <c r="B152" i="1"/>
  <c r="B264" i="1" s="1"/>
  <c r="B375" i="1" s="1"/>
  <c r="B486" i="1" s="1"/>
  <c r="B597" i="1" s="1"/>
  <c r="B709" i="1" s="1"/>
  <c r="B821" i="1" s="1"/>
  <c r="B151" i="1"/>
  <c r="B263" i="1" s="1"/>
  <c r="B374" i="1" s="1"/>
  <c r="B485" i="1" s="1"/>
  <c r="B596" i="1" s="1"/>
  <c r="B708" i="1" s="1"/>
  <c r="B820" i="1" s="1"/>
  <c r="B150" i="1"/>
  <c r="B262" i="1" s="1"/>
  <c r="B373" i="1" s="1"/>
  <c r="B484" i="1" s="1"/>
  <c r="B595" i="1" s="1"/>
  <c r="B707" i="1" s="1"/>
  <c r="B819" i="1" s="1"/>
  <c r="B149" i="1"/>
  <c r="B261" i="1" s="1"/>
  <c r="B372" i="1" s="1"/>
  <c r="B483" i="1" s="1"/>
  <c r="B594" i="1" s="1"/>
  <c r="B706" i="1" s="1"/>
  <c r="B818" i="1" s="1"/>
  <c r="B148" i="1"/>
  <c r="B260" i="1" s="1"/>
  <c r="B371" i="1" s="1"/>
  <c r="B482" i="1" s="1"/>
  <c r="B593" i="1" s="1"/>
  <c r="B705" i="1" s="1"/>
  <c r="B817" i="1" s="1"/>
  <c r="C147" i="1"/>
  <c r="B147" i="1"/>
  <c r="B259" i="1" s="1"/>
  <c r="B370" i="1" s="1"/>
  <c r="B481" i="1" s="1"/>
  <c r="B592" i="1" s="1"/>
  <c r="B704" i="1" s="1"/>
  <c r="B816" i="1" s="1"/>
  <c r="B146" i="1"/>
  <c r="B258" i="1" s="1"/>
  <c r="B369" i="1" s="1"/>
  <c r="B480" i="1" s="1"/>
  <c r="B591" i="1" s="1"/>
  <c r="B703" i="1" s="1"/>
  <c r="B815" i="1" s="1"/>
  <c r="B145" i="1"/>
  <c r="B257" i="1" s="1"/>
  <c r="B368" i="1" s="1"/>
  <c r="B479" i="1" s="1"/>
  <c r="B590" i="1" s="1"/>
  <c r="B702" i="1" s="1"/>
  <c r="B814" i="1" s="1"/>
  <c r="B144" i="1"/>
  <c r="B256" i="1" s="1"/>
  <c r="B367" i="1" s="1"/>
  <c r="B478" i="1" s="1"/>
  <c r="B589" i="1" s="1"/>
  <c r="B701" i="1" s="1"/>
  <c r="B813" i="1" s="1"/>
  <c r="B143" i="1"/>
  <c r="B255" i="1" s="1"/>
  <c r="B366" i="1" s="1"/>
  <c r="B477" i="1" s="1"/>
  <c r="B588" i="1" s="1"/>
  <c r="B700" i="1" s="1"/>
  <c r="B812" i="1" s="1"/>
  <c r="C142" i="1"/>
  <c r="B142" i="1"/>
  <c r="B254" i="1" s="1"/>
  <c r="B365" i="1" s="1"/>
  <c r="B476" i="1" s="1"/>
  <c r="B587" i="1" s="1"/>
  <c r="B699" i="1" s="1"/>
  <c r="B811" i="1" s="1"/>
  <c r="B141" i="1"/>
  <c r="B253" i="1" s="1"/>
  <c r="B364" i="1" s="1"/>
  <c r="B475" i="1" s="1"/>
  <c r="B586" i="1" s="1"/>
  <c r="B698" i="1" s="1"/>
  <c r="B810" i="1" s="1"/>
  <c r="C140" i="1"/>
  <c r="B140" i="1"/>
  <c r="B252" i="1" s="1"/>
  <c r="B363" i="1" s="1"/>
  <c r="B474" i="1" s="1"/>
  <c r="B585" i="1" s="1"/>
  <c r="B697" i="1" s="1"/>
  <c r="B809" i="1" s="1"/>
  <c r="B139" i="1"/>
  <c r="B251" i="1" s="1"/>
  <c r="B362" i="1" s="1"/>
  <c r="B473" i="1" s="1"/>
  <c r="B584" i="1" s="1"/>
  <c r="B696" i="1" s="1"/>
  <c r="B808" i="1" s="1"/>
  <c r="C138" i="1"/>
  <c r="B138" i="1"/>
  <c r="B250" i="1" s="1"/>
  <c r="B361" i="1" s="1"/>
  <c r="B472" i="1" s="1"/>
  <c r="B583" i="1" s="1"/>
  <c r="B695" i="1" s="1"/>
  <c r="B807" i="1" s="1"/>
  <c r="B137" i="1"/>
  <c r="B249" i="1" s="1"/>
  <c r="B360" i="1" s="1"/>
  <c r="B471" i="1" s="1"/>
  <c r="B582" i="1" s="1"/>
  <c r="B694" i="1" s="1"/>
  <c r="B806" i="1" s="1"/>
  <c r="B136" i="1"/>
  <c r="B248" i="1" s="1"/>
  <c r="B359" i="1" s="1"/>
  <c r="B470" i="1" s="1"/>
  <c r="B581" i="1" s="1"/>
  <c r="B693" i="1" s="1"/>
  <c r="B805" i="1" s="1"/>
  <c r="C133" i="1"/>
  <c r="B130" i="1"/>
  <c r="B242" i="1" s="1"/>
  <c r="B353" i="1" s="1"/>
  <c r="B464" i="1" s="1"/>
  <c r="B575" i="1" s="1"/>
  <c r="B687" i="1" s="1"/>
  <c r="B799" i="1" s="1"/>
  <c r="B128" i="1"/>
  <c r="B240" i="1" s="1"/>
  <c r="B351" i="1" s="1"/>
  <c r="B462" i="1" s="1"/>
  <c r="B573" i="1" s="1"/>
  <c r="B685" i="1" s="1"/>
  <c r="B797" i="1" s="1"/>
  <c r="B127" i="1"/>
  <c r="B239" i="1" s="1"/>
  <c r="B350" i="1" s="1"/>
  <c r="B461" i="1" s="1"/>
  <c r="B572" i="1" s="1"/>
  <c r="B684" i="1" s="1"/>
  <c r="B796" i="1" s="1"/>
  <c r="C121" i="1"/>
  <c r="B119" i="1"/>
  <c r="B231" i="1" s="1"/>
  <c r="B342" i="1" s="1"/>
  <c r="B453" i="1" s="1"/>
  <c r="B564" i="1" s="1"/>
  <c r="B676" i="1" s="1"/>
  <c r="B788" i="1" s="1"/>
  <c r="C117" i="1"/>
  <c r="C70" i="1"/>
  <c r="I64" i="1"/>
  <c r="C176" i="1" s="1"/>
  <c r="D53" i="1"/>
  <c r="I50" i="1"/>
  <c r="C162" i="1" s="1"/>
  <c r="D49" i="1"/>
  <c r="I47" i="1"/>
  <c r="C159" i="1" s="1"/>
  <c r="I46" i="1"/>
  <c r="C158" i="1" s="1"/>
  <c r="I45" i="1"/>
  <c r="C157" i="1" s="1"/>
  <c r="I44" i="1"/>
  <c r="C156" i="1" s="1"/>
  <c r="I43" i="1"/>
  <c r="C155" i="1" s="1"/>
  <c r="D43" i="1"/>
  <c r="D42" i="1"/>
  <c r="I33" i="1"/>
  <c r="C145" i="1" s="1"/>
  <c r="D32" i="1"/>
  <c r="I31" i="1"/>
  <c r="C143" i="1" s="1"/>
  <c r="I23" i="1"/>
  <c r="C135" i="1" s="1"/>
  <c r="D20" i="1"/>
  <c r="D19" i="1"/>
  <c r="D16" i="1"/>
  <c r="D14" i="1"/>
  <c r="D10" i="1"/>
  <c r="I8" i="1"/>
  <c r="C120" i="1" s="1"/>
  <c r="D6" i="1"/>
  <c r="F4" i="1"/>
  <c r="G4" i="1" s="1"/>
  <c r="H4" i="1" s="1"/>
  <c r="I4" i="1" s="1"/>
  <c r="D125" i="1" l="1"/>
  <c r="I125" i="1"/>
  <c r="C237" i="1" s="1"/>
  <c r="D736" i="1"/>
  <c r="I736" i="1"/>
  <c r="C848" i="1" s="1"/>
  <c r="I134" i="1"/>
  <c r="C246" i="1" s="1"/>
  <c r="D134" i="1"/>
  <c r="I132" i="1"/>
  <c r="C244" i="1" s="1"/>
  <c r="D132" i="1"/>
  <c r="D119" i="1"/>
  <c r="I119" i="1"/>
  <c r="C231" i="1" s="1"/>
  <c r="I126" i="1"/>
  <c r="C238" i="1" s="1"/>
  <c r="D126" i="1"/>
  <c r="D401" i="1"/>
  <c r="I401" i="1"/>
  <c r="C512" i="1" s="1"/>
  <c r="D400" i="1"/>
  <c r="I400" i="1"/>
  <c r="C511" i="1" s="1"/>
  <c r="D353" i="1"/>
  <c r="I353" i="1"/>
  <c r="C464" i="1" s="1"/>
  <c r="D352" i="1"/>
  <c r="I352" i="1"/>
  <c r="C463" i="1" s="1"/>
  <c r="D346" i="1"/>
  <c r="I346" i="1"/>
  <c r="C457" i="1" s="1"/>
  <c r="I457" i="1" s="1"/>
  <c r="C568" i="1" s="1"/>
  <c r="I568" i="1" s="1"/>
  <c r="C680" i="1" s="1"/>
  <c r="I680" i="1" s="1"/>
  <c r="C792" i="1" s="1"/>
  <c r="D345" i="1"/>
  <c r="I345" i="1"/>
  <c r="C456" i="1" s="1"/>
  <c r="D341" i="1"/>
  <c r="I341" i="1"/>
  <c r="C452" i="1" s="1"/>
  <c r="D175" i="1"/>
  <c r="I175" i="1"/>
  <c r="C287" i="1" s="1"/>
  <c r="D174" i="1"/>
  <c r="I174" i="1"/>
  <c r="C286" i="1" s="1"/>
  <c r="D285" i="1"/>
  <c r="I285" i="1"/>
  <c r="C396" i="1" s="1"/>
  <c r="D284" i="1"/>
  <c r="I284" i="1"/>
  <c r="C395" i="1" s="1"/>
  <c r="D283" i="1"/>
  <c r="I283" i="1"/>
  <c r="C394" i="1" s="1"/>
  <c r="D282" i="1"/>
  <c r="I282" i="1"/>
  <c r="C393" i="1" s="1"/>
  <c r="D281" i="1"/>
  <c r="I281" i="1"/>
  <c r="C392" i="1" s="1"/>
  <c r="D280" i="1"/>
  <c r="I280" i="1"/>
  <c r="C391" i="1" s="1"/>
  <c r="D279" i="1"/>
  <c r="I279" i="1"/>
  <c r="C390" i="1" s="1"/>
  <c r="D278" i="1"/>
  <c r="I278" i="1"/>
  <c r="C389" i="1" s="1"/>
  <c r="D147" i="1"/>
  <c r="I147" i="1"/>
  <c r="C259" i="1" s="1"/>
  <c r="D142" i="1"/>
  <c r="I142" i="1"/>
  <c r="C254" i="1" s="1"/>
  <c r="D140" i="1"/>
  <c r="I140" i="1"/>
  <c r="C252" i="1" s="1"/>
  <c r="I252" i="1" s="1"/>
  <c r="C363" i="1" s="1"/>
  <c r="D138" i="1"/>
  <c r="I138" i="1"/>
  <c r="C250" i="1" s="1"/>
  <c r="I133" i="1"/>
  <c r="C245" i="1" s="1"/>
  <c r="D133" i="1"/>
  <c r="D121" i="1"/>
  <c r="I121" i="1"/>
  <c r="C233" i="1" s="1"/>
  <c r="D117" i="1"/>
  <c r="C182" i="1"/>
  <c r="I117" i="1"/>
  <c r="D176" i="1"/>
  <c r="I176" i="1"/>
  <c r="C288" i="1" s="1"/>
  <c r="D162" i="1"/>
  <c r="I162" i="1"/>
  <c r="C274" i="1" s="1"/>
  <c r="D159" i="1"/>
  <c r="I159" i="1"/>
  <c r="C271" i="1" s="1"/>
  <c r="D158" i="1"/>
  <c r="I158" i="1"/>
  <c r="C270" i="1" s="1"/>
  <c r="D157" i="1"/>
  <c r="I157" i="1"/>
  <c r="C269" i="1" s="1"/>
  <c r="D156" i="1"/>
  <c r="I156" i="1"/>
  <c r="C268" i="1" s="1"/>
  <c r="D155" i="1"/>
  <c r="I155" i="1"/>
  <c r="C267" i="1" s="1"/>
  <c r="D145" i="1"/>
  <c r="I145" i="1"/>
  <c r="C257" i="1" s="1"/>
  <c r="D143" i="1"/>
  <c r="I143" i="1"/>
  <c r="C255" i="1" s="1"/>
  <c r="D135" i="1"/>
  <c r="I135" i="1"/>
  <c r="C247" i="1" s="1"/>
  <c r="I120" i="1"/>
  <c r="C232" i="1" s="1"/>
  <c r="D120" i="1"/>
  <c r="I165" i="1"/>
  <c r="C277" i="1" s="1"/>
  <c r="D165" i="1"/>
  <c r="I164" i="1"/>
  <c r="C276" i="1" s="1"/>
  <c r="D164" i="1"/>
  <c r="I163" i="1"/>
  <c r="C275" i="1" s="1"/>
  <c r="D163" i="1"/>
  <c r="I161" i="1"/>
  <c r="C273" i="1" s="1"/>
  <c r="D161" i="1"/>
  <c r="I160" i="1"/>
  <c r="C272" i="1" s="1"/>
  <c r="D160" i="1"/>
  <c r="I154" i="1"/>
  <c r="C266" i="1" s="1"/>
  <c r="D154" i="1"/>
  <c r="I153" i="1"/>
  <c r="C265" i="1" s="1"/>
  <c r="D153" i="1"/>
  <c r="I152" i="1"/>
  <c r="C264" i="1" s="1"/>
  <c r="I139" i="1"/>
  <c r="C251" i="1" s="1"/>
  <c r="D139" i="1"/>
  <c r="I137" i="1"/>
  <c r="C249" i="1" s="1"/>
  <c r="D137" i="1"/>
  <c r="I136" i="1"/>
  <c r="C248" i="1" s="1"/>
  <c r="D136" i="1"/>
  <c r="I131" i="1"/>
  <c r="C243" i="1" s="1"/>
  <c r="I127" i="1"/>
  <c r="C239" i="1" s="1"/>
  <c r="D70" i="1"/>
  <c r="D152" i="1"/>
  <c r="I151" i="1"/>
  <c r="C263" i="1" s="1"/>
  <c r="D151" i="1"/>
  <c r="I150" i="1"/>
  <c r="C262" i="1" s="1"/>
  <c r="D150" i="1"/>
  <c r="I149" i="1"/>
  <c r="C261" i="1" s="1"/>
  <c r="D149" i="1"/>
  <c r="I148" i="1"/>
  <c r="C260" i="1" s="1"/>
  <c r="D148" i="1"/>
  <c r="I146" i="1"/>
  <c r="C258" i="1" s="1"/>
  <c r="D146" i="1"/>
  <c r="I144" i="1"/>
  <c r="C256" i="1" s="1"/>
  <c r="D144" i="1"/>
  <c r="I141" i="1"/>
  <c r="C253" i="1" s="1"/>
  <c r="D141" i="1"/>
  <c r="I128" i="1"/>
  <c r="C240" i="1" s="1"/>
  <c r="I124" i="1"/>
  <c r="C236" i="1" s="1"/>
  <c r="D122" i="1"/>
  <c r="D118" i="1"/>
  <c r="I70" i="1"/>
  <c r="D237" i="1" l="1"/>
  <c r="I237" i="1"/>
  <c r="C348" i="1" s="1"/>
  <c r="D848" i="1"/>
  <c r="I848" i="1"/>
  <c r="D246" i="1"/>
  <c r="I246" i="1"/>
  <c r="C357" i="1" s="1"/>
  <c r="D244" i="1"/>
  <c r="I244" i="1"/>
  <c r="C355" i="1" s="1"/>
  <c r="D231" i="1"/>
  <c r="I231" i="1"/>
  <c r="C342" i="1" s="1"/>
  <c r="D238" i="1"/>
  <c r="I238" i="1"/>
  <c r="C349" i="1" s="1"/>
  <c r="I512" i="1"/>
  <c r="C623" i="1" s="1"/>
  <c r="D512" i="1"/>
  <c r="I511" i="1"/>
  <c r="C622" i="1" s="1"/>
  <c r="D511" i="1"/>
  <c r="D464" i="1"/>
  <c r="I464" i="1"/>
  <c r="C575" i="1" s="1"/>
  <c r="D463" i="1"/>
  <c r="I463" i="1"/>
  <c r="C574" i="1" s="1"/>
  <c r="D792" i="1"/>
  <c r="I792" i="1"/>
  <c r="C904" i="1" s="1"/>
  <c r="D456" i="1"/>
  <c r="I456" i="1"/>
  <c r="C567" i="1" s="1"/>
  <c r="D452" i="1"/>
  <c r="I452" i="1"/>
  <c r="C563" i="1" s="1"/>
  <c r="D287" i="1"/>
  <c r="I287" i="1"/>
  <c r="C398" i="1" s="1"/>
  <c r="D286" i="1"/>
  <c r="I286" i="1"/>
  <c r="C397" i="1" s="1"/>
  <c r="D396" i="1"/>
  <c r="I396" i="1"/>
  <c r="C507" i="1" s="1"/>
  <c r="D395" i="1"/>
  <c r="I395" i="1"/>
  <c r="C506" i="1" s="1"/>
  <c r="D394" i="1"/>
  <c r="I394" i="1"/>
  <c r="C505" i="1" s="1"/>
  <c r="D393" i="1"/>
  <c r="I393" i="1"/>
  <c r="C504" i="1" s="1"/>
  <c r="D392" i="1"/>
  <c r="I392" i="1"/>
  <c r="C503" i="1" s="1"/>
  <c r="D391" i="1"/>
  <c r="I391" i="1"/>
  <c r="C502" i="1" s="1"/>
  <c r="D390" i="1"/>
  <c r="I390" i="1"/>
  <c r="C501" i="1" s="1"/>
  <c r="D389" i="1"/>
  <c r="I389" i="1"/>
  <c r="C500" i="1" s="1"/>
  <c r="D259" i="1"/>
  <c r="I259" i="1"/>
  <c r="C370" i="1" s="1"/>
  <c r="D254" i="1"/>
  <c r="I254" i="1"/>
  <c r="C365" i="1" s="1"/>
  <c r="D363" i="1"/>
  <c r="I363" i="1"/>
  <c r="C474" i="1" s="1"/>
  <c r="I474" i="1" s="1"/>
  <c r="C585" i="1" s="1"/>
  <c r="D250" i="1"/>
  <c r="I250" i="1"/>
  <c r="C361" i="1" s="1"/>
  <c r="D245" i="1"/>
  <c r="I245" i="1"/>
  <c r="C356" i="1" s="1"/>
  <c r="D233" i="1"/>
  <c r="I233" i="1"/>
  <c r="C344" i="1" s="1"/>
  <c r="I182" i="1"/>
  <c r="C229" i="1"/>
  <c r="D288" i="1"/>
  <c r="I288" i="1"/>
  <c r="C399" i="1" s="1"/>
  <c r="D274" i="1"/>
  <c r="I274" i="1"/>
  <c r="C385" i="1" s="1"/>
  <c r="D271" i="1"/>
  <c r="I271" i="1"/>
  <c r="C382" i="1" s="1"/>
  <c r="D270" i="1"/>
  <c r="I270" i="1"/>
  <c r="C381" i="1" s="1"/>
  <c r="D269" i="1"/>
  <c r="I269" i="1"/>
  <c r="C380" i="1" s="1"/>
  <c r="D268" i="1"/>
  <c r="I268" i="1"/>
  <c r="C379" i="1" s="1"/>
  <c r="D267" i="1"/>
  <c r="I267" i="1"/>
  <c r="C378" i="1" s="1"/>
  <c r="D257" i="1"/>
  <c r="I257" i="1"/>
  <c r="C368" i="1" s="1"/>
  <c r="D255" i="1"/>
  <c r="I255" i="1"/>
  <c r="C366" i="1" s="1"/>
  <c r="D247" i="1"/>
  <c r="I247" i="1"/>
  <c r="C358" i="1" s="1"/>
  <c r="D232" i="1"/>
  <c r="I232" i="1"/>
  <c r="C343" i="1" s="1"/>
  <c r="I277" i="1"/>
  <c r="C388" i="1" s="1"/>
  <c r="D277" i="1"/>
  <c r="I276" i="1"/>
  <c r="C387" i="1" s="1"/>
  <c r="D276" i="1"/>
  <c r="I275" i="1"/>
  <c r="C386" i="1" s="1"/>
  <c r="D275" i="1"/>
  <c r="I273" i="1"/>
  <c r="C384" i="1" s="1"/>
  <c r="D273" i="1"/>
  <c r="I272" i="1"/>
  <c r="C383" i="1" s="1"/>
  <c r="D272" i="1"/>
  <c r="I266" i="1"/>
  <c r="C377" i="1" s="1"/>
  <c r="D266" i="1"/>
  <c r="I265" i="1"/>
  <c r="C376" i="1" s="1"/>
  <c r="D265" i="1"/>
  <c r="I264" i="1"/>
  <c r="C375" i="1" s="1"/>
  <c r="D264" i="1"/>
  <c r="I251" i="1"/>
  <c r="C362" i="1" s="1"/>
  <c r="D251" i="1"/>
  <c r="I249" i="1"/>
  <c r="C360" i="1" s="1"/>
  <c r="D249" i="1"/>
  <c r="I248" i="1"/>
  <c r="C359" i="1" s="1"/>
  <c r="D248" i="1"/>
  <c r="I243" i="1"/>
  <c r="C354" i="1" s="1"/>
  <c r="D243" i="1"/>
  <c r="I239" i="1"/>
  <c r="C350" i="1" s="1"/>
  <c r="D239" i="1"/>
  <c r="I263" i="1"/>
  <c r="C374" i="1" s="1"/>
  <c r="D263" i="1"/>
  <c r="I262" i="1"/>
  <c r="C373" i="1" s="1"/>
  <c r="D262" i="1"/>
  <c r="I261" i="1"/>
  <c r="C372" i="1" s="1"/>
  <c r="D261" i="1"/>
  <c r="I260" i="1"/>
  <c r="C371" i="1" s="1"/>
  <c r="D260" i="1"/>
  <c r="I258" i="1"/>
  <c r="C369" i="1" s="1"/>
  <c r="D258" i="1"/>
  <c r="I256" i="1"/>
  <c r="C367" i="1" s="1"/>
  <c r="D256" i="1"/>
  <c r="I253" i="1"/>
  <c r="C364" i="1" s="1"/>
  <c r="D253" i="1"/>
  <c r="I240" i="1"/>
  <c r="C351" i="1" s="1"/>
  <c r="D240" i="1"/>
  <c r="I236" i="1"/>
  <c r="C347" i="1" s="1"/>
  <c r="D236" i="1"/>
  <c r="D182" i="1"/>
  <c r="D348" i="1" l="1"/>
  <c r="I348" i="1"/>
  <c r="C459" i="1" s="1"/>
  <c r="D357" i="1"/>
  <c r="I357" i="1"/>
  <c r="C468" i="1" s="1"/>
  <c r="D355" i="1"/>
  <c r="I355" i="1"/>
  <c r="C466" i="1" s="1"/>
  <c r="I466" i="1" s="1"/>
  <c r="C577" i="1" s="1"/>
  <c r="D342" i="1"/>
  <c r="I342" i="1"/>
  <c r="C453" i="1" s="1"/>
  <c r="D349" i="1"/>
  <c r="I349" i="1"/>
  <c r="C460" i="1" s="1"/>
  <c r="D623" i="1"/>
  <c r="I623" i="1"/>
  <c r="C735" i="1" s="1"/>
  <c r="D622" i="1"/>
  <c r="I622" i="1"/>
  <c r="C734" i="1" s="1"/>
  <c r="D575" i="1"/>
  <c r="I575" i="1"/>
  <c r="C687" i="1" s="1"/>
  <c r="I574" i="1"/>
  <c r="C686" i="1" s="1"/>
  <c r="D574" i="1"/>
  <c r="D904" i="1"/>
  <c r="I904" i="1"/>
  <c r="C1015" i="1" s="1"/>
  <c r="D567" i="1"/>
  <c r="I567" i="1"/>
  <c r="C679" i="1" s="1"/>
  <c r="D563" i="1"/>
  <c r="I563" i="1"/>
  <c r="C675" i="1" s="1"/>
  <c r="D398" i="1"/>
  <c r="I398" i="1"/>
  <c r="C509" i="1" s="1"/>
  <c r="D397" i="1"/>
  <c r="I397" i="1"/>
  <c r="C508" i="1" s="1"/>
  <c r="D507" i="1"/>
  <c r="I507" i="1"/>
  <c r="C618" i="1" s="1"/>
  <c r="D506" i="1"/>
  <c r="I506" i="1"/>
  <c r="C617" i="1" s="1"/>
  <c r="I505" i="1"/>
  <c r="C616" i="1" s="1"/>
  <c r="D505" i="1"/>
  <c r="I504" i="1"/>
  <c r="C615" i="1" s="1"/>
  <c r="D504" i="1"/>
  <c r="D503" i="1"/>
  <c r="I503" i="1"/>
  <c r="C614" i="1" s="1"/>
  <c r="D502" i="1"/>
  <c r="I502" i="1"/>
  <c r="C613" i="1" s="1"/>
  <c r="D501" i="1"/>
  <c r="I501" i="1"/>
  <c r="C612" i="1" s="1"/>
  <c r="D500" i="1"/>
  <c r="I500" i="1"/>
  <c r="C611" i="1" s="1"/>
  <c r="D370" i="1"/>
  <c r="I370" i="1"/>
  <c r="C481" i="1" s="1"/>
  <c r="D365" i="1"/>
  <c r="I365" i="1"/>
  <c r="C476" i="1" s="1"/>
  <c r="D585" i="1"/>
  <c r="I585" i="1"/>
  <c r="C697" i="1" s="1"/>
  <c r="D361" i="1"/>
  <c r="I361" i="1"/>
  <c r="C472" i="1" s="1"/>
  <c r="D356" i="1"/>
  <c r="I356" i="1"/>
  <c r="C467" i="1" s="1"/>
  <c r="D344" i="1"/>
  <c r="I344" i="1"/>
  <c r="C455" i="1" s="1"/>
  <c r="D229" i="1"/>
  <c r="D291" i="1" s="1"/>
  <c r="I229" i="1"/>
  <c r="C291" i="1"/>
  <c r="D399" i="1"/>
  <c r="I399" i="1"/>
  <c r="C510" i="1" s="1"/>
  <c r="D385" i="1"/>
  <c r="I385" i="1"/>
  <c r="C496" i="1" s="1"/>
  <c r="D382" i="1"/>
  <c r="I382" i="1"/>
  <c r="C493" i="1" s="1"/>
  <c r="D381" i="1"/>
  <c r="I381" i="1"/>
  <c r="C492" i="1" s="1"/>
  <c r="D380" i="1"/>
  <c r="I380" i="1"/>
  <c r="C491" i="1" s="1"/>
  <c r="D379" i="1"/>
  <c r="I379" i="1"/>
  <c r="C490" i="1" s="1"/>
  <c r="D378" i="1"/>
  <c r="I378" i="1"/>
  <c r="C489" i="1" s="1"/>
  <c r="D368" i="1"/>
  <c r="I368" i="1"/>
  <c r="C479" i="1" s="1"/>
  <c r="I479" i="1" s="1"/>
  <c r="C590" i="1" s="1"/>
  <c r="D366" i="1"/>
  <c r="I366" i="1"/>
  <c r="C477" i="1" s="1"/>
  <c r="D358" i="1"/>
  <c r="I358" i="1"/>
  <c r="C469" i="1" s="1"/>
  <c r="D343" i="1"/>
  <c r="I343" i="1"/>
  <c r="C454" i="1" s="1"/>
  <c r="I454" i="1" s="1"/>
  <c r="C565" i="1" s="1"/>
  <c r="D388" i="1"/>
  <c r="I388" i="1"/>
  <c r="C499" i="1" s="1"/>
  <c r="D387" i="1"/>
  <c r="I387" i="1"/>
  <c r="C498" i="1" s="1"/>
  <c r="D386" i="1"/>
  <c r="I386" i="1"/>
  <c r="C497" i="1" s="1"/>
  <c r="D384" i="1"/>
  <c r="I384" i="1"/>
  <c r="C495" i="1" s="1"/>
  <c r="D383" i="1"/>
  <c r="I383" i="1"/>
  <c r="C494" i="1" s="1"/>
  <c r="D377" i="1"/>
  <c r="I377" i="1"/>
  <c r="C488" i="1" s="1"/>
  <c r="D376" i="1"/>
  <c r="I376" i="1"/>
  <c r="C487" i="1" s="1"/>
  <c r="D375" i="1"/>
  <c r="I375" i="1"/>
  <c r="C486" i="1" s="1"/>
  <c r="D362" i="1"/>
  <c r="I362" i="1"/>
  <c r="C473" i="1" s="1"/>
  <c r="D360" i="1"/>
  <c r="I360" i="1"/>
  <c r="C471" i="1" s="1"/>
  <c r="I471" i="1" s="1"/>
  <c r="C582" i="1" s="1"/>
  <c r="D359" i="1"/>
  <c r="I359" i="1"/>
  <c r="C470" i="1" s="1"/>
  <c r="D354" i="1"/>
  <c r="I354" i="1"/>
  <c r="C465" i="1" s="1"/>
  <c r="D350" i="1"/>
  <c r="I350" i="1"/>
  <c r="C461" i="1" s="1"/>
  <c r="D374" i="1"/>
  <c r="I374" i="1"/>
  <c r="C485" i="1" s="1"/>
  <c r="D373" i="1"/>
  <c r="I373" i="1"/>
  <c r="C484" i="1" s="1"/>
  <c r="D372" i="1"/>
  <c r="I372" i="1"/>
  <c r="C483" i="1" s="1"/>
  <c r="D371" i="1"/>
  <c r="I371" i="1"/>
  <c r="C482" i="1" s="1"/>
  <c r="D369" i="1"/>
  <c r="I369" i="1"/>
  <c r="C480" i="1" s="1"/>
  <c r="D367" i="1"/>
  <c r="I367" i="1"/>
  <c r="C478" i="1" s="1"/>
  <c r="D364" i="1"/>
  <c r="I364" i="1"/>
  <c r="C475" i="1" s="1"/>
  <c r="D351" i="1"/>
  <c r="I351" i="1"/>
  <c r="C462" i="1" s="1"/>
  <c r="D347" i="1"/>
  <c r="I347" i="1"/>
  <c r="C458" i="1" s="1"/>
  <c r="D459" i="1" l="1"/>
  <c r="I459" i="1"/>
  <c r="C570" i="1" s="1"/>
  <c r="D468" i="1"/>
  <c r="I468" i="1"/>
  <c r="C579" i="1" s="1"/>
  <c r="D577" i="1"/>
  <c r="I577" i="1"/>
  <c r="C689" i="1" s="1"/>
  <c r="D453" i="1"/>
  <c r="I453" i="1"/>
  <c r="C564" i="1" s="1"/>
  <c r="D460" i="1"/>
  <c r="I460" i="1"/>
  <c r="C571" i="1" s="1"/>
  <c r="D735" i="1"/>
  <c r="I735" i="1"/>
  <c r="C847" i="1" s="1"/>
  <c r="D734" i="1"/>
  <c r="I734" i="1"/>
  <c r="C846" i="1" s="1"/>
  <c r="D687" i="1"/>
  <c r="I687" i="1"/>
  <c r="C799" i="1" s="1"/>
  <c r="D686" i="1"/>
  <c r="I686" i="1"/>
  <c r="C798" i="1" s="1"/>
  <c r="D1015" i="1"/>
  <c r="I1015" i="1"/>
  <c r="C1126" i="1" s="1"/>
  <c r="D679" i="1"/>
  <c r="I679" i="1"/>
  <c r="C791" i="1" s="1"/>
  <c r="D675" i="1"/>
  <c r="I675" i="1"/>
  <c r="C787" i="1" s="1"/>
  <c r="D509" i="1"/>
  <c r="I509" i="1"/>
  <c r="C620" i="1" s="1"/>
  <c r="I508" i="1"/>
  <c r="C619" i="1" s="1"/>
  <c r="D508" i="1"/>
  <c r="D618" i="1"/>
  <c r="I618" i="1"/>
  <c r="C730" i="1" s="1"/>
  <c r="D617" i="1"/>
  <c r="I617" i="1"/>
  <c r="C729" i="1" s="1"/>
  <c r="D616" i="1"/>
  <c r="I616" i="1"/>
  <c r="C728" i="1" s="1"/>
  <c r="D615" i="1"/>
  <c r="I615" i="1"/>
  <c r="C727" i="1" s="1"/>
  <c r="D614" i="1"/>
  <c r="I614" i="1"/>
  <c r="C726" i="1" s="1"/>
  <c r="D613" i="1"/>
  <c r="I613" i="1"/>
  <c r="C725" i="1" s="1"/>
  <c r="D612" i="1"/>
  <c r="I612" i="1"/>
  <c r="C724" i="1" s="1"/>
  <c r="I611" i="1"/>
  <c r="C723" i="1" s="1"/>
  <c r="D611" i="1"/>
  <c r="D481" i="1"/>
  <c r="I481" i="1"/>
  <c r="C592" i="1" s="1"/>
  <c r="D476" i="1"/>
  <c r="I476" i="1"/>
  <c r="C587" i="1" s="1"/>
  <c r="D697" i="1"/>
  <c r="I697" i="1"/>
  <c r="C809" i="1" s="1"/>
  <c r="D472" i="1"/>
  <c r="I472" i="1"/>
  <c r="C583" i="1" s="1"/>
  <c r="D467" i="1"/>
  <c r="I467" i="1"/>
  <c r="C578" i="1" s="1"/>
  <c r="D455" i="1"/>
  <c r="I455" i="1"/>
  <c r="C566" i="1" s="1"/>
  <c r="I291" i="1"/>
  <c r="C340" i="1"/>
  <c r="D510" i="1"/>
  <c r="I510" i="1"/>
  <c r="C621" i="1" s="1"/>
  <c r="D496" i="1"/>
  <c r="I496" i="1"/>
  <c r="C607" i="1" s="1"/>
  <c r="D493" i="1"/>
  <c r="I493" i="1"/>
  <c r="C604" i="1" s="1"/>
  <c r="D492" i="1"/>
  <c r="I492" i="1"/>
  <c r="C603" i="1" s="1"/>
  <c r="D491" i="1"/>
  <c r="I491" i="1"/>
  <c r="C602" i="1" s="1"/>
  <c r="D490" i="1"/>
  <c r="I490" i="1"/>
  <c r="C601" i="1" s="1"/>
  <c r="D489" i="1"/>
  <c r="I489" i="1"/>
  <c r="C600" i="1" s="1"/>
  <c r="D590" i="1"/>
  <c r="I590" i="1"/>
  <c r="C702" i="1" s="1"/>
  <c r="D477" i="1"/>
  <c r="I477" i="1"/>
  <c r="C588" i="1" s="1"/>
  <c r="D469" i="1"/>
  <c r="I469" i="1"/>
  <c r="C580" i="1" s="1"/>
  <c r="I565" i="1"/>
  <c r="C677" i="1" s="1"/>
  <c r="D565" i="1"/>
  <c r="D499" i="1"/>
  <c r="I499" i="1"/>
  <c r="C610" i="1" s="1"/>
  <c r="D498" i="1"/>
  <c r="I498" i="1"/>
  <c r="C609" i="1" s="1"/>
  <c r="D497" i="1"/>
  <c r="I497" i="1"/>
  <c r="C608" i="1" s="1"/>
  <c r="D495" i="1"/>
  <c r="I495" i="1"/>
  <c r="C606" i="1" s="1"/>
  <c r="D494" i="1"/>
  <c r="I494" i="1"/>
  <c r="C605" i="1" s="1"/>
  <c r="D488" i="1"/>
  <c r="I488" i="1"/>
  <c r="C599" i="1" s="1"/>
  <c r="D487" i="1"/>
  <c r="I487" i="1"/>
  <c r="C598" i="1" s="1"/>
  <c r="D486" i="1"/>
  <c r="I486" i="1"/>
  <c r="C597" i="1" s="1"/>
  <c r="D473" i="1"/>
  <c r="I473" i="1"/>
  <c r="C584" i="1" s="1"/>
  <c r="D582" i="1"/>
  <c r="I582" i="1"/>
  <c r="C694" i="1" s="1"/>
  <c r="D470" i="1"/>
  <c r="I470" i="1"/>
  <c r="C581" i="1" s="1"/>
  <c r="D465" i="1"/>
  <c r="I465" i="1"/>
  <c r="C576" i="1" s="1"/>
  <c r="D461" i="1"/>
  <c r="I461" i="1"/>
  <c r="C572" i="1" s="1"/>
  <c r="D485" i="1"/>
  <c r="I485" i="1"/>
  <c r="C596" i="1" s="1"/>
  <c r="D484" i="1"/>
  <c r="I484" i="1"/>
  <c r="C595" i="1" s="1"/>
  <c r="D483" i="1"/>
  <c r="I483" i="1"/>
  <c r="C594" i="1" s="1"/>
  <c r="D482" i="1"/>
  <c r="I482" i="1"/>
  <c r="C593" i="1" s="1"/>
  <c r="D480" i="1"/>
  <c r="I480" i="1"/>
  <c r="C591" i="1" s="1"/>
  <c r="D478" i="1"/>
  <c r="I478" i="1"/>
  <c r="C589" i="1" s="1"/>
  <c r="D475" i="1"/>
  <c r="I475" i="1"/>
  <c r="C586" i="1" s="1"/>
  <c r="D462" i="1"/>
  <c r="I462" i="1"/>
  <c r="C573" i="1" s="1"/>
  <c r="D458" i="1"/>
  <c r="I458" i="1"/>
  <c r="C569" i="1" s="1"/>
  <c r="D570" i="1" l="1"/>
  <c r="I570" i="1"/>
  <c r="C682" i="1" s="1"/>
  <c r="I579" i="1"/>
  <c r="C691" i="1" s="1"/>
  <c r="D579" i="1"/>
  <c r="D689" i="1"/>
  <c r="I689" i="1"/>
  <c r="C801" i="1" s="1"/>
  <c r="D564" i="1"/>
  <c r="I564" i="1"/>
  <c r="C676" i="1" s="1"/>
  <c r="D571" i="1"/>
  <c r="I571" i="1"/>
  <c r="C683" i="1" s="1"/>
  <c r="D847" i="1"/>
  <c r="I847" i="1"/>
  <c r="C959" i="1" s="1"/>
  <c r="D846" i="1"/>
  <c r="I846" i="1"/>
  <c r="C958" i="1" s="1"/>
  <c r="D799" i="1"/>
  <c r="I799" i="1"/>
  <c r="C911" i="1" s="1"/>
  <c r="D798" i="1"/>
  <c r="I798" i="1"/>
  <c r="C910" i="1" s="1"/>
  <c r="D1126" i="1"/>
  <c r="I1126" i="1"/>
  <c r="C1238" i="1" s="1"/>
  <c r="D1238" i="1" s="1"/>
  <c r="I1238" i="1" s="1"/>
  <c r="D791" i="1"/>
  <c r="I791" i="1"/>
  <c r="C903" i="1" s="1"/>
  <c r="D787" i="1"/>
  <c r="I787" i="1"/>
  <c r="C899" i="1" s="1"/>
  <c r="D620" i="1"/>
  <c r="I620" i="1"/>
  <c r="C732" i="1" s="1"/>
  <c r="D619" i="1"/>
  <c r="I619" i="1"/>
  <c r="C731" i="1" s="1"/>
  <c r="D730" i="1"/>
  <c r="I730" i="1"/>
  <c r="C842" i="1" s="1"/>
  <c r="D729" i="1"/>
  <c r="I729" i="1"/>
  <c r="C841" i="1" s="1"/>
  <c r="D728" i="1"/>
  <c r="I728" i="1"/>
  <c r="C840" i="1" s="1"/>
  <c r="D727" i="1"/>
  <c r="I727" i="1"/>
  <c r="C839" i="1" s="1"/>
  <c r="D726" i="1"/>
  <c r="I726" i="1"/>
  <c r="C838" i="1" s="1"/>
  <c r="D725" i="1"/>
  <c r="I725" i="1"/>
  <c r="C837" i="1" s="1"/>
  <c r="D724" i="1"/>
  <c r="I724" i="1"/>
  <c r="C836" i="1" s="1"/>
  <c r="D723" i="1"/>
  <c r="I723" i="1"/>
  <c r="C835" i="1" s="1"/>
  <c r="D592" i="1"/>
  <c r="I592" i="1"/>
  <c r="C704" i="1" s="1"/>
  <c r="D587" i="1"/>
  <c r="I587" i="1"/>
  <c r="C699" i="1" s="1"/>
  <c r="D809" i="1"/>
  <c r="I809" i="1"/>
  <c r="C921" i="1" s="1"/>
  <c r="I583" i="1"/>
  <c r="C695" i="1" s="1"/>
  <c r="D583" i="1"/>
  <c r="D578" i="1"/>
  <c r="I578" i="1"/>
  <c r="C690" i="1" s="1"/>
  <c r="D566" i="1"/>
  <c r="I566" i="1"/>
  <c r="C678" i="1" s="1"/>
  <c r="D340" i="1"/>
  <c r="D402" i="1" s="1"/>
  <c r="I340" i="1"/>
  <c r="C402" i="1"/>
  <c r="D621" i="1"/>
  <c r="I621" i="1"/>
  <c r="C733" i="1" s="1"/>
  <c r="I607" i="1"/>
  <c r="C719" i="1" s="1"/>
  <c r="D607" i="1"/>
  <c r="I604" i="1"/>
  <c r="C716" i="1" s="1"/>
  <c r="D604" i="1"/>
  <c r="D603" i="1"/>
  <c r="I603" i="1"/>
  <c r="C715" i="1" s="1"/>
  <c r="D602" i="1"/>
  <c r="I602" i="1"/>
  <c r="C714" i="1" s="1"/>
  <c r="I601" i="1"/>
  <c r="C713" i="1" s="1"/>
  <c r="D601" i="1"/>
  <c r="I600" i="1"/>
  <c r="C712" i="1" s="1"/>
  <c r="D600" i="1"/>
  <c r="D702" i="1"/>
  <c r="I702" i="1"/>
  <c r="C814" i="1" s="1"/>
  <c r="I588" i="1"/>
  <c r="C700" i="1" s="1"/>
  <c r="D588" i="1"/>
  <c r="D580" i="1"/>
  <c r="I580" i="1"/>
  <c r="C692" i="1" s="1"/>
  <c r="D677" i="1"/>
  <c r="I677" i="1"/>
  <c r="C789" i="1" s="1"/>
  <c r="D610" i="1"/>
  <c r="I610" i="1"/>
  <c r="C722" i="1" s="1"/>
  <c r="D609" i="1"/>
  <c r="I609" i="1"/>
  <c r="C721" i="1" s="1"/>
  <c r="I608" i="1"/>
  <c r="C720" i="1" s="1"/>
  <c r="D608" i="1"/>
  <c r="D606" i="1"/>
  <c r="I606" i="1"/>
  <c r="C718" i="1" s="1"/>
  <c r="D605" i="1"/>
  <c r="I605" i="1"/>
  <c r="C717" i="1" s="1"/>
  <c r="D599" i="1"/>
  <c r="I599" i="1"/>
  <c r="C711" i="1" s="1"/>
  <c r="D598" i="1"/>
  <c r="I598" i="1"/>
  <c r="C710" i="1" s="1"/>
  <c r="D597" i="1"/>
  <c r="I597" i="1"/>
  <c r="C709" i="1" s="1"/>
  <c r="I584" i="1"/>
  <c r="C696" i="1" s="1"/>
  <c r="D584" i="1"/>
  <c r="D694" i="1"/>
  <c r="I694" i="1"/>
  <c r="C806" i="1" s="1"/>
  <c r="D581" i="1"/>
  <c r="I581" i="1"/>
  <c r="C693" i="1" s="1"/>
  <c r="I576" i="1"/>
  <c r="C688" i="1" s="1"/>
  <c r="D576" i="1"/>
  <c r="D572" i="1"/>
  <c r="I572" i="1"/>
  <c r="C684" i="1" s="1"/>
  <c r="I596" i="1"/>
  <c r="C708" i="1" s="1"/>
  <c r="D596" i="1"/>
  <c r="I595" i="1"/>
  <c r="C707" i="1" s="1"/>
  <c r="D595" i="1"/>
  <c r="D594" i="1"/>
  <c r="I594" i="1"/>
  <c r="C706" i="1" s="1"/>
  <c r="I593" i="1"/>
  <c r="C705" i="1" s="1"/>
  <c r="D593" i="1"/>
  <c r="D591" i="1"/>
  <c r="I591" i="1"/>
  <c r="C703" i="1" s="1"/>
  <c r="D589" i="1"/>
  <c r="I589" i="1"/>
  <c r="C701" i="1" s="1"/>
  <c r="D586" i="1"/>
  <c r="I586" i="1"/>
  <c r="C698" i="1" s="1"/>
  <c r="I573" i="1"/>
  <c r="C685" i="1" s="1"/>
  <c r="D573" i="1"/>
  <c r="I569" i="1"/>
  <c r="C681" i="1" s="1"/>
  <c r="D569" i="1"/>
  <c r="D682" i="1" l="1"/>
  <c r="I682" i="1"/>
  <c r="C794" i="1" s="1"/>
  <c r="D691" i="1"/>
  <c r="I691" i="1"/>
  <c r="C803" i="1" s="1"/>
  <c r="D801" i="1"/>
  <c r="I801" i="1"/>
  <c r="C913" i="1" s="1"/>
  <c r="D676" i="1"/>
  <c r="I676" i="1"/>
  <c r="C788" i="1" s="1"/>
  <c r="D683" i="1"/>
  <c r="I683" i="1"/>
  <c r="C795" i="1" s="1"/>
  <c r="D959" i="1"/>
  <c r="I959" i="1"/>
  <c r="C1070" i="1" s="1"/>
  <c r="D958" i="1"/>
  <c r="I958" i="1"/>
  <c r="C1069" i="1" s="1"/>
  <c r="D911" i="1"/>
  <c r="I911" i="1"/>
  <c r="C1022" i="1" s="1"/>
  <c r="I910" i="1"/>
  <c r="C1021" i="1" s="1"/>
  <c r="D910" i="1"/>
  <c r="D903" i="1"/>
  <c r="I903" i="1"/>
  <c r="C1014" i="1" s="1"/>
  <c r="D899" i="1"/>
  <c r="I899" i="1"/>
  <c r="C1010" i="1" s="1"/>
  <c r="D732" i="1"/>
  <c r="I732" i="1"/>
  <c r="C844" i="1" s="1"/>
  <c r="D731" i="1"/>
  <c r="I731" i="1"/>
  <c r="C843" i="1" s="1"/>
  <c r="D842" i="1"/>
  <c r="I842" i="1"/>
  <c r="C954" i="1" s="1"/>
  <c r="D841" i="1"/>
  <c r="I841" i="1"/>
  <c r="C953" i="1" s="1"/>
  <c r="D840" i="1"/>
  <c r="I840" i="1"/>
  <c r="C952" i="1" s="1"/>
  <c r="D839" i="1"/>
  <c r="I839" i="1"/>
  <c r="C951" i="1" s="1"/>
  <c r="D838" i="1"/>
  <c r="I838" i="1"/>
  <c r="C950" i="1" s="1"/>
  <c r="D837" i="1"/>
  <c r="I837" i="1"/>
  <c r="C949" i="1" s="1"/>
  <c r="D836" i="1"/>
  <c r="I836" i="1"/>
  <c r="C948" i="1" s="1"/>
  <c r="D835" i="1"/>
  <c r="I835" i="1"/>
  <c r="C947" i="1" s="1"/>
  <c r="D704" i="1"/>
  <c r="I704" i="1"/>
  <c r="C816" i="1" s="1"/>
  <c r="D699" i="1"/>
  <c r="I699" i="1"/>
  <c r="C811" i="1" s="1"/>
  <c r="D921" i="1"/>
  <c r="I921" i="1"/>
  <c r="C1032" i="1" s="1"/>
  <c r="D695" i="1"/>
  <c r="I695" i="1"/>
  <c r="C807" i="1" s="1"/>
  <c r="D690" i="1"/>
  <c r="I690" i="1"/>
  <c r="C802" i="1" s="1"/>
  <c r="D678" i="1"/>
  <c r="I678" i="1"/>
  <c r="C790" i="1" s="1"/>
  <c r="I402" i="1"/>
  <c r="C451" i="1"/>
  <c r="D733" i="1"/>
  <c r="I733" i="1"/>
  <c r="C845" i="1" s="1"/>
  <c r="D719" i="1"/>
  <c r="I719" i="1"/>
  <c r="C831" i="1" s="1"/>
  <c r="D716" i="1"/>
  <c r="I716" i="1"/>
  <c r="C828" i="1" s="1"/>
  <c r="D715" i="1"/>
  <c r="I715" i="1"/>
  <c r="C827" i="1" s="1"/>
  <c r="D714" i="1"/>
  <c r="I714" i="1"/>
  <c r="C826" i="1" s="1"/>
  <c r="D713" i="1"/>
  <c r="I713" i="1"/>
  <c r="C825" i="1" s="1"/>
  <c r="D712" i="1"/>
  <c r="I712" i="1"/>
  <c r="C824" i="1" s="1"/>
  <c r="D814" i="1"/>
  <c r="I814" i="1"/>
  <c r="C926" i="1" s="1"/>
  <c r="D700" i="1"/>
  <c r="I700" i="1"/>
  <c r="C812" i="1" s="1"/>
  <c r="D692" i="1"/>
  <c r="I692" i="1"/>
  <c r="C804" i="1" s="1"/>
  <c r="D789" i="1"/>
  <c r="I789" i="1"/>
  <c r="C901" i="1" s="1"/>
  <c r="D722" i="1"/>
  <c r="I722" i="1"/>
  <c r="C834" i="1" s="1"/>
  <c r="D721" i="1"/>
  <c r="I721" i="1"/>
  <c r="C833" i="1" s="1"/>
  <c r="D720" i="1"/>
  <c r="I720" i="1"/>
  <c r="C832" i="1" s="1"/>
  <c r="D718" i="1"/>
  <c r="I718" i="1"/>
  <c r="C830" i="1" s="1"/>
  <c r="D717" i="1"/>
  <c r="I717" i="1"/>
  <c r="C829" i="1" s="1"/>
  <c r="D711" i="1"/>
  <c r="I711" i="1"/>
  <c r="C823" i="1" s="1"/>
  <c r="D710" i="1"/>
  <c r="I710" i="1"/>
  <c r="C822" i="1" s="1"/>
  <c r="D709" i="1"/>
  <c r="I709" i="1"/>
  <c r="C821" i="1" s="1"/>
  <c r="D696" i="1"/>
  <c r="I696" i="1"/>
  <c r="C808" i="1" s="1"/>
  <c r="D806" i="1"/>
  <c r="I806" i="1"/>
  <c r="C918" i="1" s="1"/>
  <c r="D693" i="1"/>
  <c r="I693" i="1"/>
  <c r="C805" i="1" s="1"/>
  <c r="D688" i="1"/>
  <c r="I688" i="1"/>
  <c r="C800" i="1" s="1"/>
  <c r="D684" i="1"/>
  <c r="I684" i="1"/>
  <c r="C796" i="1" s="1"/>
  <c r="D708" i="1"/>
  <c r="I708" i="1"/>
  <c r="C820" i="1" s="1"/>
  <c r="D707" i="1"/>
  <c r="I707" i="1"/>
  <c r="C819" i="1" s="1"/>
  <c r="D706" i="1"/>
  <c r="I706" i="1"/>
  <c r="C818" i="1" s="1"/>
  <c r="D705" i="1"/>
  <c r="I705" i="1"/>
  <c r="C817" i="1" s="1"/>
  <c r="D703" i="1"/>
  <c r="I703" i="1"/>
  <c r="C815" i="1" s="1"/>
  <c r="D701" i="1"/>
  <c r="I701" i="1"/>
  <c r="C813" i="1" s="1"/>
  <c r="D698" i="1"/>
  <c r="I698" i="1"/>
  <c r="C810" i="1" s="1"/>
  <c r="D685" i="1"/>
  <c r="I685" i="1"/>
  <c r="C797" i="1" s="1"/>
  <c r="D681" i="1"/>
  <c r="I681" i="1"/>
  <c r="C793" i="1" s="1"/>
  <c r="D794" i="1" l="1"/>
  <c r="I794" i="1"/>
  <c r="C906" i="1" s="1"/>
  <c r="D803" i="1"/>
  <c r="I803" i="1"/>
  <c r="C915" i="1" s="1"/>
  <c r="D913" i="1"/>
  <c r="I913" i="1"/>
  <c r="C1024" i="1" s="1"/>
  <c r="D788" i="1"/>
  <c r="I788" i="1"/>
  <c r="C900" i="1" s="1"/>
  <c r="D795" i="1"/>
  <c r="I795" i="1"/>
  <c r="C907" i="1" s="1"/>
  <c r="D1070" i="1"/>
  <c r="I1070" i="1"/>
  <c r="C1181" i="1" s="1"/>
  <c r="D1069" i="1"/>
  <c r="I1069" i="1"/>
  <c r="C1180" i="1" s="1"/>
  <c r="D1022" i="1"/>
  <c r="I1022" i="1"/>
  <c r="C1133" i="1" s="1"/>
  <c r="D1021" i="1"/>
  <c r="I1021" i="1"/>
  <c r="C1132" i="1" s="1"/>
  <c r="D1014" i="1"/>
  <c r="I1014" i="1"/>
  <c r="C1125" i="1" s="1"/>
  <c r="D1010" i="1"/>
  <c r="I1010" i="1"/>
  <c r="C1121" i="1" s="1"/>
  <c r="D844" i="1"/>
  <c r="I844" i="1"/>
  <c r="C956" i="1" s="1"/>
  <c r="D843" i="1"/>
  <c r="I843" i="1"/>
  <c r="C955" i="1" s="1"/>
  <c r="D954" i="1"/>
  <c r="I954" i="1"/>
  <c r="C1065" i="1" s="1"/>
  <c r="D953" i="1"/>
  <c r="I953" i="1"/>
  <c r="C1064" i="1" s="1"/>
  <c r="D952" i="1"/>
  <c r="I952" i="1"/>
  <c r="C1063" i="1" s="1"/>
  <c r="D951" i="1"/>
  <c r="I951" i="1"/>
  <c r="C1062" i="1" s="1"/>
  <c r="D950" i="1"/>
  <c r="I950" i="1"/>
  <c r="C1061" i="1" s="1"/>
  <c r="D949" i="1"/>
  <c r="I949" i="1"/>
  <c r="C1060" i="1" s="1"/>
  <c r="D948" i="1"/>
  <c r="I948" i="1"/>
  <c r="C1059" i="1" s="1"/>
  <c r="D947" i="1"/>
  <c r="I947" i="1"/>
  <c r="C1058" i="1" s="1"/>
  <c r="D816" i="1"/>
  <c r="I816" i="1"/>
  <c r="C928" i="1" s="1"/>
  <c r="D811" i="1"/>
  <c r="I811" i="1"/>
  <c r="C923" i="1" s="1"/>
  <c r="D1032" i="1"/>
  <c r="I1032" i="1"/>
  <c r="C1143" i="1" s="1"/>
  <c r="D807" i="1"/>
  <c r="I807" i="1"/>
  <c r="C919" i="1" s="1"/>
  <c r="D802" i="1"/>
  <c r="I802" i="1"/>
  <c r="C914" i="1" s="1"/>
  <c r="D790" i="1"/>
  <c r="I790" i="1"/>
  <c r="C902" i="1" s="1"/>
  <c r="D451" i="1"/>
  <c r="D513" i="1" s="1"/>
  <c r="I451" i="1"/>
  <c r="C513" i="1"/>
  <c r="D845" i="1"/>
  <c r="I845" i="1"/>
  <c r="C957" i="1" s="1"/>
  <c r="D831" i="1"/>
  <c r="I831" i="1"/>
  <c r="C943" i="1" s="1"/>
  <c r="D828" i="1"/>
  <c r="I828" i="1"/>
  <c r="C940" i="1" s="1"/>
  <c r="D827" i="1"/>
  <c r="I827" i="1"/>
  <c r="C939" i="1" s="1"/>
  <c r="D826" i="1"/>
  <c r="I826" i="1"/>
  <c r="C938" i="1" s="1"/>
  <c r="D825" i="1"/>
  <c r="I825" i="1"/>
  <c r="C937" i="1" s="1"/>
  <c r="D824" i="1"/>
  <c r="I824" i="1"/>
  <c r="C936" i="1" s="1"/>
  <c r="D926" i="1"/>
  <c r="I926" i="1"/>
  <c r="C1037" i="1" s="1"/>
  <c r="D812" i="1"/>
  <c r="I812" i="1"/>
  <c r="C924" i="1" s="1"/>
  <c r="D804" i="1"/>
  <c r="I804" i="1"/>
  <c r="C916" i="1" s="1"/>
  <c r="D901" i="1"/>
  <c r="I901" i="1"/>
  <c r="C1012" i="1" s="1"/>
  <c r="D834" i="1"/>
  <c r="I834" i="1"/>
  <c r="C946" i="1" s="1"/>
  <c r="D833" i="1"/>
  <c r="I833" i="1"/>
  <c r="C945" i="1" s="1"/>
  <c r="D832" i="1"/>
  <c r="I832" i="1"/>
  <c r="C944" i="1" s="1"/>
  <c r="D830" i="1"/>
  <c r="I830" i="1"/>
  <c r="C942" i="1" s="1"/>
  <c r="D829" i="1"/>
  <c r="I829" i="1"/>
  <c r="C941" i="1" s="1"/>
  <c r="D823" i="1"/>
  <c r="I823" i="1"/>
  <c r="C935" i="1" s="1"/>
  <c r="D822" i="1"/>
  <c r="I822" i="1"/>
  <c r="C934" i="1" s="1"/>
  <c r="D821" i="1"/>
  <c r="I821" i="1"/>
  <c r="C933" i="1" s="1"/>
  <c r="D808" i="1"/>
  <c r="I808" i="1"/>
  <c r="C920" i="1" s="1"/>
  <c r="D918" i="1"/>
  <c r="I918" i="1"/>
  <c r="C1029" i="1" s="1"/>
  <c r="D805" i="1"/>
  <c r="I805" i="1"/>
  <c r="C917" i="1" s="1"/>
  <c r="D800" i="1"/>
  <c r="I800" i="1"/>
  <c r="C912" i="1" s="1"/>
  <c r="D796" i="1"/>
  <c r="I796" i="1"/>
  <c r="C908" i="1" s="1"/>
  <c r="D820" i="1"/>
  <c r="I820" i="1"/>
  <c r="C932" i="1" s="1"/>
  <c r="D819" i="1"/>
  <c r="I819" i="1"/>
  <c r="C931" i="1" s="1"/>
  <c r="D818" i="1"/>
  <c r="I818" i="1"/>
  <c r="C930" i="1" s="1"/>
  <c r="D817" i="1"/>
  <c r="I817" i="1"/>
  <c r="C929" i="1" s="1"/>
  <c r="D815" i="1"/>
  <c r="I815" i="1"/>
  <c r="C927" i="1" s="1"/>
  <c r="D813" i="1"/>
  <c r="I813" i="1"/>
  <c r="C925" i="1" s="1"/>
  <c r="D810" i="1"/>
  <c r="I810" i="1"/>
  <c r="C922" i="1" s="1"/>
  <c r="D797" i="1"/>
  <c r="I797" i="1"/>
  <c r="C909" i="1" s="1"/>
  <c r="D793" i="1"/>
  <c r="I793" i="1"/>
  <c r="C905" i="1" s="1"/>
  <c r="I906" i="1" l="1"/>
  <c r="C1017" i="1" s="1"/>
  <c r="D906" i="1"/>
  <c r="D915" i="1"/>
  <c r="I915" i="1"/>
  <c r="C1026" i="1" s="1"/>
  <c r="D1024" i="1"/>
  <c r="I1024" i="1"/>
  <c r="C1135" i="1" s="1"/>
  <c r="D900" i="1"/>
  <c r="I900" i="1"/>
  <c r="C1011" i="1" s="1"/>
  <c r="I907" i="1"/>
  <c r="C1018" i="1" s="1"/>
  <c r="D907" i="1"/>
  <c r="D1181" i="1"/>
  <c r="I1181" i="1"/>
  <c r="C1293" i="1" s="1"/>
  <c r="D1293" i="1" s="1"/>
  <c r="I1293" i="1" s="1"/>
  <c r="D1180" i="1"/>
  <c r="I1180" i="1"/>
  <c r="C1292" i="1" s="1"/>
  <c r="D1292" i="1" s="1"/>
  <c r="I1292" i="1" s="1"/>
  <c r="D1133" i="1"/>
  <c r="I1133" i="1"/>
  <c r="C1245" i="1" s="1"/>
  <c r="D1245" i="1" s="1"/>
  <c r="I1245" i="1" s="1"/>
  <c r="D1132" i="1"/>
  <c r="I1132" i="1"/>
  <c r="C1244" i="1" s="1"/>
  <c r="D1244" i="1" s="1"/>
  <c r="I1244" i="1" s="1"/>
  <c r="D1125" i="1"/>
  <c r="I1125" i="1"/>
  <c r="C1237" i="1" s="1"/>
  <c r="D1237" i="1" s="1"/>
  <c r="I1237" i="1" s="1"/>
  <c r="D1121" i="1"/>
  <c r="I1121" i="1"/>
  <c r="C1233" i="1" s="1"/>
  <c r="D1233" i="1" s="1"/>
  <c r="I1233" i="1" s="1"/>
  <c r="D956" i="1"/>
  <c r="I956" i="1"/>
  <c r="C1067" i="1" s="1"/>
  <c r="D955" i="1"/>
  <c r="I955" i="1"/>
  <c r="C1066" i="1" s="1"/>
  <c r="D1065" i="1"/>
  <c r="I1065" i="1"/>
  <c r="C1176" i="1" s="1"/>
  <c r="D1064" i="1"/>
  <c r="I1064" i="1"/>
  <c r="C1175" i="1" s="1"/>
  <c r="D1063" i="1"/>
  <c r="I1063" i="1"/>
  <c r="C1174" i="1" s="1"/>
  <c r="D1062" i="1"/>
  <c r="I1062" i="1"/>
  <c r="C1173" i="1" s="1"/>
  <c r="D1061" i="1"/>
  <c r="I1061" i="1"/>
  <c r="C1172" i="1" s="1"/>
  <c r="D1060" i="1"/>
  <c r="I1060" i="1"/>
  <c r="C1171" i="1" s="1"/>
  <c r="D1059" i="1"/>
  <c r="I1059" i="1"/>
  <c r="C1170" i="1" s="1"/>
  <c r="D1058" i="1"/>
  <c r="I1058" i="1"/>
  <c r="C1169" i="1" s="1"/>
  <c r="D928" i="1"/>
  <c r="I928" i="1"/>
  <c r="C1039" i="1" s="1"/>
  <c r="D923" i="1"/>
  <c r="I923" i="1"/>
  <c r="C1034" i="1" s="1"/>
  <c r="D1143" i="1"/>
  <c r="I1143" i="1"/>
  <c r="C1255" i="1" s="1"/>
  <c r="D1255" i="1" s="1"/>
  <c r="I1255" i="1" s="1"/>
  <c r="D919" i="1"/>
  <c r="I919" i="1"/>
  <c r="C1030" i="1" s="1"/>
  <c r="D914" i="1"/>
  <c r="I914" i="1"/>
  <c r="C1025" i="1" s="1"/>
  <c r="D902" i="1"/>
  <c r="I902" i="1"/>
  <c r="C1013" i="1" s="1"/>
  <c r="I513" i="1"/>
  <c r="C562" i="1"/>
  <c r="D957" i="1"/>
  <c r="I957" i="1"/>
  <c r="C1068" i="1" s="1"/>
  <c r="D943" i="1"/>
  <c r="I943" i="1"/>
  <c r="C1054" i="1" s="1"/>
  <c r="D940" i="1"/>
  <c r="I940" i="1"/>
  <c r="C1051" i="1" s="1"/>
  <c r="D939" i="1"/>
  <c r="I939" i="1"/>
  <c r="C1050" i="1" s="1"/>
  <c r="D938" i="1"/>
  <c r="I938" i="1"/>
  <c r="C1049" i="1" s="1"/>
  <c r="D937" i="1"/>
  <c r="I937" i="1"/>
  <c r="C1048" i="1" s="1"/>
  <c r="D936" i="1"/>
  <c r="I936" i="1"/>
  <c r="C1047" i="1" s="1"/>
  <c r="D1037" i="1"/>
  <c r="I1037" i="1"/>
  <c r="C1148" i="1" s="1"/>
  <c r="D924" i="1"/>
  <c r="I924" i="1"/>
  <c r="C1035" i="1" s="1"/>
  <c r="D916" i="1"/>
  <c r="I916" i="1"/>
  <c r="C1027" i="1" s="1"/>
  <c r="D1012" i="1"/>
  <c r="I1012" i="1"/>
  <c r="C1123" i="1" s="1"/>
  <c r="D946" i="1"/>
  <c r="I946" i="1"/>
  <c r="C1057" i="1" s="1"/>
  <c r="D945" i="1"/>
  <c r="I945" i="1"/>
  <c r="C1056" i="1" s="1"/>
  <c r="D944" i="1"/>
  <c r="I944" i="1"/>
  <c r="C1055" i="1" s="1"/>
  <c r="D942" i="1"/>
  <c r="I942" i="1"/>
  <c r="C1053" i="1" s="1"/>
  <c r="D941" i="1"/>
  <c r="I941" i="1"/>
  <c r="C1052" i="1" s="1"/>
  <c r="D935" i="1"/>
  <c r="I935" i="1"/>
  <c r="C1046" i="1" s="1"/>
  <c r="D934" i="1"/>
  <c r="I934" i="1"/>
  <c r="C1045" i="1" s="1"/>
  <c r="D933" i="1"/>
  <c r="I933" i="1"/>
  <c r="C1044" i="1" s="1"/>
  <c r="D920" i="1"/>
  <c r="I920" i="1"/>
  <c r="C1031" i="1" s="1"/>
  <c r="D1029" i="1"/>
  <c r="I1029" i="1"/>
  <c r="C1140" i="1" s="1"/>
  <c r="D917" i="1"/>
  <c r="I917" i="1"/>
  <c r="C1028" i="1" s="1"/>
  <c r="D912" i="1"/>
  <c r="I912" i="1"/>
  <c r="C1023" i="1" s="1"/>
  <c r="I908" i="1"/>
  <c r="C1019" i="1" s="1"/>
  <c r="D908" i="1"/>
  <c r="D932" i="1"/>
  <c r="I932" i="1"/>
  <c r="C1043" i="1" s="1"/>
  <c r="D931" i="1"/>
  <c r="I931" i="1"/>
  <c r="C1042" i="1" s="1"/>
  <c r="D930" i="1"/>
  <c r="I930" i="1"/>
  <c r="C1041" i="1" s="1"/>
  <c r="D929" i="1"/>
  <c r="I929" i="1"/>
  <c r="C1040" i="1" s="1"/>
  <c r="D927" i="1"/>
  <c r="I927" i="1"/>
  <c r="C1038" i="1" s="1"/>
  <c r="D925" i="1"/>
  <c r="I925" i="1"/>
  <c r="C1036" i="1" s="1"/>
  <c r="D922" i="1"/>
  <c r="I922" i="1"/>
  <c r="C1033" i="1" s="1"/>
  <c r="I909" i="1"/>
  <c r="C1020" i="1" s="1"/>
  <c r="D909" i="1"/>
  <c r="D905" i="1"/>
  <c r="I905" i="1"/>
  <c r="C1016" i="1" s="1"/>
  <c r="D1017" i="1" l="1"/>
  <c r="I1017" i="1"/>
  <c r="C1128" i="1" s="1"/>
  <c r="D1026" i="1"/>
  <c r="I1026" i="1"/>
  <c r="C1137" i="1" s="1"/>
  <c r="D1135" i="1"/>
  <c r="I1135" i="1"/>
  <c r="C1247" i="1" s="1"/>
  <c r="D1247" i="1" s="1"/>
  <c r="I1247" i="1" s="1"/>
  <c r="D1011" i="1"/>
  <c r="I1011" i="1"/>
  <c r="C1122" i="1" s="1"/>
  <c r="D1018" i="1"/>
  <c r="I1018" i="1"/>
  <c r="C1129" i="1" s="1"/>
  <c r="D1067" i="1"/>
  <c r="I1067" i="1"/>
  <c r="C1178" i="1" s="1"/>
  <c r="D1066" i="1"/>
  <c r="I1066" i="1"/>
  <c r="C1177" i="1" s="1"/>
  <c r="D1176" i="1"/>
  <c r="I1176" i="1"/>
  <c r="C1288" i="1" s="1"/>
  <c r="D1288" i="1" s="1"/>
  <c r="I1288" i="1" s="1"/>
  <c r="D1175" i="1"/>
  <c r="I1175" i="1"/>
  <c r="C1287" i="1" s="1"/>
  <c r="D1287" i="1" s="1"/>
  <c r="I1287" i="1" s="1"/>
  <c r="D1174" i="1"/>
  <c r="I1174" i="1"/>
  <c r="C1286" i="1" s="1"/>
  <c r="D1286" i="1" s="1"/>
  <c r="I1286" i="1" s="1"/>
  <c r="D1173" i="1"/>
  <c r="I1173" i="1"/>
  <c r="C1285" i="1" s="1"/>
  <c r="D1172" i="1"/>
  <c r="I1172" i="1"/>
  <c r="C1284" i="1" s="1"/>
  <c r="D1284" i="1" s="1"/>
  <c r="I1284" i="1" s="1"/>
  <c r="D1171" i="1"/>
  <c r="I1171" i="1"/>
  <c r="C1283" i="1" s="1"/>
  <c r="D1170" i="1"/>
  <c r="I1170" i="1"/>
  <c r="C1282" i="1" s="1"/>
  <c r="D1282" i="1" s="1"/>
  <c r="I1282" i="1" s="1"/>
  <c r="D1169" i="1"/>
  <c r="I1169" i="1"/>
  <c r="C1281" i="1" s="1"/>
  <c r="D1281" i="1" s="1"/>
  <c r="I1281" i="1" s="1"/>
  <c r="D1039" i="1"/>
  <c r="I1039" i="1"/>
  <c r="C1150" i="1" s="1"/>
  <c r="D1034" i="1"/>
  <c r="I1034" i="1"/>
  <c r="C1145" i="1" s="1"/>
  <c r="D1030" i="1"/>
  <c r="I1030" i="1"/>
  <c r="C1141" i="1" s="1"/>
  <c r="D1025" i="1"/>
  <c r="I1025" i="1"/>
  <c r="C1136" i="1" s="1"/>
  <c r="D1013" i="1"/>
  <c r="I1013" i="1"/>
  <c r="C1124" i="1" s="1"/>
  <c r="I562" i="1"/>
  <c r="D562" i="1"/>
  <c r="D625" i="1" s="1"/>
  <c r="C625" i="1"/>
  <c r="D1068" i="1"/>
  <c r="I1068" i="1"/>
  <c r="C1179" i="1" s="1"/>
  <c r="D1054" i="1"/>
  <c r="I1054" i="1"/>
  <c r="C1165" i="1" s="1"/>
  <c r="D1051" i="1"/>
  <c r="I1051" i="1"/>
  <c r="C1162" i="1" s="1"/>
  <c r="D1050" i="1"/>
  <c r="I1050" i="1"/>
  <c r="C1161" i="1" s="1"/>
  <c r="D1049" i="1"/>
  <c r="I1049" i="1"/>
  <c r="C1160" i="1" s="1"/>
  <c r="D1048" i="1"/>
  <c r="I1048" i="1"/>
  <c r="C1159" i="1" s="1"/>
  <c r="D1047" i="1"/>
  <c r="I1047" i="1"/>
  <c r="C1158" i="1" s="1"/>
  <c r="D1148" i="1"/>
  <c r="I1148" i="1"/>
  <c r="C1260" i="1" s="1"/>
  <c r="D1260" i="1" s="1"/>
  <c r="I1260" i="1" s="1"/>
  <c r="D1035" i="1"/>
  <c r="I1035" i="1"/>
  <c r="C1146" i="1" s="1"/>
  <c r="D1027" i="1"/>
  <c r="I1027" i="1"/>
  <c r="C1138" i="1" s="1"/>
  <c r="D1123" i="1"/>
  <c r="I1123" i="1"/>
  <c r="C1235" i="1" s="1"/>
  <c r="D1235" i="1" s="1"/>
  <c r="I1235" i="1" s="1"/>
  <c r="D1057" i="1"/>
  <c r="I1057" i="1"/>
  <c r="C1168" i="1" s="1"/>
  <c r="D1056" i="1"/>
  <c r="I1056" i="1"/>
  <c r="C1167" i="1" s="1"/>
  <c r="D1055" i="1"/>
  <c r="I1055" i="1"/>
  <c r="C1166" i="1" s="1"/>
  <c r="D1053" i="1"/>
  <c r="I1053" i="1"/>
  <c r="C1164" i="1" s="1"/>
  <c r="D1052" i="1"/>
  <c r="I1052" i="1"/>
  <c r="C1163" i="1" s="1"/>
  <c r="D1046" i="1"/>
  <c r="I1046" i="1"/>
  <c r="C1157" i="1" s="1"/>
  <c r="D1045" i="1"/>
  <c r="I1045" i="1"/>
  <c r="C1156" i="1" s="1"/>
  <c r="D1044" i="1"/>
  <c r="I1044" i="1"/>
  <c r="C1155" i="1" s="1"/>
  <c r="D1031" i="1"/>
  <c r="I1031" i="1"/>
  <c r="C1142" i="1" s="1"/>
  <c r="D1140" i="1"/>
  <c r="I1140" i="1"/>
  <c r="C1252" i="1" s="1"/>
  <c r="D1252" i="1" s="1"/>
  <c r="I1252" i="1" s="1"/>
  <c r="D1028" i="1"/>
  <c r="I1028" i="1"/>
  <c r="C1139" i="1" s="1"/>
  <c r="D1023" i="1"/>
  <c r="I1023" i="1"/>
  <c r="C1134" i="1" s="1"/>
  <c r="D1019" i="1"/>
  <c r="I1019" i="1"/>
  <c r="C1130" i="1" s="1"/>
  <c r="D1043" i="1"/>
  <c r="I1043" i="1"/>
  <c r="C1154" i="1" s="1"/>
  <c r="D1042" i="1"/>
  <c r="I1042" i="1"/>
  <c r="C1153" i="1" s="1"/>
  <c r="D1041" i="1"/>
  <c r="I1041" i="1"/>
  <c r="C1152" i="1" s="1"/>
  <c r="D1040" i="1"/>
  <c r="I1040" i="1"/>
  <c r="C1151" i="1" s="1"/>
  <c r="D1038" i="1"/>
  <c r="I1038" i="1"/>
  <c r="C1149" i="1" s="1"/>
  <c r="D1036" i="1"/>
  <c r="I1036" i="1"/>
  <c r="C1147" i="1" s="1"/>
  <c r="D1033" i="1"/>
  <c r="I1033" i="1"/>
  <c r="C1144" i="1" s="1"/>
  <c r="D1020" i="1"/>
  <c r="I1020" i="1"/>
  <c r="C1131" i="1" s="1"/>
  <c r="D1016" i="1"/>
  <c r="I1016" i="1"/>
  <c r="C1127" i="1" s="1"/>
  <c r="D1128" i="1" l="1"/>
  <c r="I1128" i="1"/>
  <c r="C1240" i="1" s="1"/>
  <c r="D1240" i="1" s="1"/>
  <c r="I1240" i="1" s="1"/>
  <c r="D1137" i="1"/>
  <c r="I1137" i="1"/>
  <c r="C1249" i="1" s="1"/>
  <c r="D1249" i="1" s="1"/>
  <c r="I1249" i="1" s="1"/>
  <c r="D1122" i="1"/>
  <c r="I1122" i="1"/>
  <c r="C1234" i="1" s="1"/>
  <c r="D1234" i="1" s="1"/>
  <c r="I1234" i="1" s="1"/>
  <c r="D1129" i="1"/>
  <c r="I1129" i="1"/>
  <c r="C1241" i="1" s="1"/>
  <c r="D1241" i="1" s="1"/>
  <c r="I1241" i="1" s="1"/>
  <c r="D1178" i="1"/>
  <c r="I1178" i="1"/>
  <c r="C1290" i="1" s="1"/>
  <c r="D1290" i="1" s="1"/>
  <c r="I1290" i="1" s="1"/>
  <c r="D1177" i="1"/>
  <c r="I1177" i="1"/>
  <c r="C1289" i="1" s="1"/>
  <c r="D1285" i="1"/>
  <c r="G1285" i="1"/>
  <c r="D1283" i="1"/>
  <c r="G1283" i="1"/>
  <c r="D1150" i="1"/>
  <c r="I1150" i="1"/>
  <c r="C1262" i="1" s="1"/>
  <c r="D1262" i="1" s="1"/>
  <c r="I1262" i="1" s="1"/>
  <c r="D1145" i="1"/>
  <c r="I1145" i="1"/>
  <c r="C1257" i="1" s="1"/>
  <c r="D1257" i="1" s="1"/>
  <c r="I1257" i="1" s="1"/>
  <c r="D1141" i="1"/>
  <c r="I1141" i="1"/>
  <c r="C1253" i="1" s="1"/>
  <c r="D1253" i="1" s="1"/>
  <c r="I1253" i="1" s="1"/>
  <c r="D1136" i="1"/>
  <c r="I1136" i="1"/>
  <c r="C1248" i="1" s="1"/>
  <c r="D1248" i="1" s="1"/>
  <c r="I1248" i="1" s="1"/>
  <c r="D1124" i="1"/>
  <c r="I1124" i="1"/>
  <c r="C1236" i="1" s="1"/>
  <c r="D1236" i="1" s="1"/>
  <c r="I1236" i="1" s="1"/>
  <c r="I625" i="1"/>
  <c r="C674" i="1"/>
  <c r="D1179" i="1"/>
  <c r="I1179" i="1"/>
  <c r="C1291" i="1" s="1"/>
  <c r="D1291" i="1" s="1"/>
  <c r="I1291" i="1" s="1"/>
  <c r="D1165" i="1"/>
  <c r="I1165" i="1"/>
  <c r="C1277" i="1" s="1"/>
  <c r="D1277" i="1" s="1"/>
  <c r="I1277" i="1" s="1"/>
  <c r="D1162" i="1"/>
  <c r="I1162" i="1"/>
  <c r="C1274" i="1" s="1"/>
  <c r="D1274" i="1" s="1"/>
  <c r="I1274" i="1" s="1"/>
  <c r="D1161" i="1"/>
  <c r="I1161" i="1"/>
  <c r="C1273" i="1" s="1"/>
  <c r="D1273" i="1" s="1"/>
  <c r="I1273" i="1" s="1"/>
  <c r="D1160" i="1"/>
  <c r="I1160" i="1"/>
  <c r="C1272" i="1" s="1"/>
  <c r="D1272" i="1" s="1"/>
  <c r="I1272" i="1" s="1"/>
  <c r="D1159" i="1"/>
  <c r="I1159" i="1"/>
  <c r="C1271" i="1" s="1"/>
  <c r="D1271" i="1" s="1"/>
  <c r="I1271" i="1" s="1"/>
  <c r="D1158" i="1"/>
  <c r="I1158" i="1"/>
  <c r="C1270" i="1" s="1"/>
  <c r="D1270" i="1" s="1"/>
  <c r="I1270" i="1" s="1"/>
  <c r="D1146" i="1"/>
  <c r="I1146" i="1"/>
  <c r="C1258" i="1" s="1"/>
  <c r="D1258" i="1" s="1"/>
  <c r="I1258" i="1" s="1"/>
  <c r="D1138" i="1"/>
  <c r="I1138" i="1"/>
  <c r="C1250" i="1" s="1"/>
  <c r="D1250" i="1" s="1"/>
  <c r="I1250" i="1" s="1"/>
  <c r="D1168" i="1"/>
  <c r="I1168" i="1"/>
  <c r="C1280" i="1" s="1"/>
  <c r="D1280" i="1" s="1"/>
  <c r="I1280" i="1" s="1"/>
  <c r="D1167" i="1"/>
  <c r="I1167" i="1"/>
  <c r="C1279" i="1" s="1"/>
  <c r="D1279" i="1" s="1"/>
  <c r="I1279" i="1" s="1"/>
  <c r="D1166" i="1"/>
  <c r="I1166" i="1"/>
  <c r="C1278" i="1" s="1"/>
  <c r="D1278" i="1" s="1"/>
  <c r="I1278" i="1" s="1"/>
  <c r="D1164" i="1"/>
  <c r="I1164" i="1"/>
  <c r="C1276" i="1" s="1"/>
  <c r="D1163" i="1"/>
  <c r="I1163" i="1"/>
  <c r="C1275" i="1" s="1"/>
  <c r="D1157" i="1"/>
  <c r="I1157" i="1"/>
  <c r="C1269" i="1" s="1"/>
  <c r="D1156" i="1"/>
  <c r="I1156" i="1"/>
  <c r="C1268" i="1" s="1"/>
  <c r="D1155" i="1"/>
  <c r="I1155" i="1"/>
  <c r="C1267" i="1" s="1"/>
  <c r="D1142" i="1"/>
  <c r="I1142" i="1"/>
  <c r="C1254" i="1" s="1"/>
  <c r="D1254" i="1" s="1"/>
  <c r="I1254" i="1" s="1"/>
  <c r="D1139" i="1"/>
  <c r="I1139" i="1"/>
  <c r="C1251" i="1" s="1"/>
  <c r="D1251" i="1" s="1"/>
  <c r="I1251" i="1" s="1"/>
  <c r="D1134" i="1"/>
  <c r="I1134" i="1"/>
  <c r="C1246" i="1" s="1"/>
  <c r="D1246" i="1" s="1"/>
  <c r="I1246" i="1" s="1"/>
  <c r="D1130" i="1"/>
  <c r="I1130" i="1"/>
  <c r="C1242" i="1" s="1"/>
  <c r="D1242" i="1" s="1"/>
  <c r="I1242" i="1" s="1"/>
  <c r="D1154" i="1"/>
  <c r="I1154" i="1"/>
  <c r="C1266" i="1" s="1"/>
  <c r="D1266" i="1" s="1"/>
  <c r="I1266" i="1" s="1"/>
  <c r="D1153" i="1"/>
  <c r="I1153" i="1"/>
  <c r="C1265" i="1" s="1"/>
  <c r="D1152" i="1"/>
  <c r="I1152" i="1"/>
  <c r="C1264" i="1" s="1"/>
  <c r="D1151" i="1"/>
  <c r="I1151" i="1"/>
  <c r="C1263" i="1" s="1"/>
  <c r="D1149" i="1"/>
  <c r="I1149" i="1"/>
  <c r="C1261" i="1" s="1"/>
  <c r="D1261" i="1" s="1"/>
  <c r="I1261" i="1" s="1"/>
  <c r="D1147" i="1"/>
  <c r="I1147" i="1"/>
  <c r="C1259" i="1" s="1"/>
  <c r="D1259" i="1" s="1"/>
  <c r="I1259" i="1" s="1"/>
  <c r="D1144" i="1"/>
  <c r="I1144" i="1"/>
  <c r="C1256" i="1" s="1"/>
  <c r="D1256" i="1" s="1"/>
  <c r="I1256" i="1" s="1"/>
  <c r="D1131" i="1"/>
  <c r="I1131" i="1"/>
  <c r="C1243" i="1" s="1"/>
  <c r="D1243" i="1" s="1"/>
  <c r="I1243" i="1" s="1"/>
  <c r="D1127" i="1"/>
  <c r="I1127" i="1"/>
  <c r="C1239" i="1" s="1"/>
  <c r="D1239" i="1" s="1"/>
  <c r="I1239" i="1" s="1"/>
  <c r="D1289" i="1" l="1"/>
  <c r="G1289" i="1"/>
  <c r="D674" i="1"/>
  <c r="D737" i="1" s="1"/>
  <c r="I674" i="1"/>
  <c r="C737" i="1"/>
  <c r="D1276" i="1"/>
  <c r="G1276" i="1"/>
  <c r="D1275" i="1"/>
  <c r="G1275" i="1"/>
  <c r="D1269" i="1"/>
  <c r="G1269" i="1"/>
  <c r="D1268" i="1"/>
  <c r="I1268" i="1" s="1"/>
  <c r="G1268" i="1"/>
  <c r="D1267" i="1"/>
  <c r="G1267" i="1"/>
  <c r="D1265" i="1"/>
  <c r="G1265" i="1"/>
  <c r="D1264" i="1"/>
  <c r="G1264" i="1"/>
  <c r="D1263" i="1"/>
  <c r="G1263" i="1"/>
  <c r="I1285" i="1"/>
  <c r="I1283" i="1"/>
  <c r="I737" i="1" l="1"/>
  <c r="C786" i="1"/>
  <c r="I1267" i="1"/>
  <c r="I1265" i="1"/>
  <c r="I1264" i="1"/>
  <c r="I1263" i="1"/>
  <c r="G1295" i="1"/>
  <c r="I1289" i="1"/>
  <c r="I1276" i="1"/>
  <c r="I1275" i="1"/>
  <c r="I1269" i="1"/>
  <c r="D786" i="1" l="1"/>
  <c r="D849" i="1" s="1"/>
  <c r="I786" i="1"/>
  <c r="C849" i="1"/>
  <c r="I849" i="1" l="1"/>
  <c r="C898" i="1"/>
  <c r="D898" i="1" l="1"/>
  <c r="D960" i="1" s="1"/>
  <c r="I898" i="1"/>
  <c r="C960" i="1"/>
  <c r="I960" i="1" l="1"/>
  <c r="C1009" i="1"/>
  <c r="D1009" i="1" l="1"/>
  <c r="D1071" i="1" s="1"/>
  <c r="I1009" i="1"/>
  <c r="C1071" i="1"/>
  <c r="I1071" i="1" l="1"/>
  <c r="C1120" i="1"/>
  <c r="D1120" i="1" l="1"/>
  <c r="D1183" i="1" s="1"/>
  <c r="I1120" i="1"/>
  <c r="C1183" i="1"/>
  <c r="I1183" i="1" l="1"/>
  <c r="C1232" i="1"/>
  <c r="D1232" i="1" l="1"/>
  <c r="C1295" i="1"/>
  <c r="I1232" i="1" l="1"/>
  <c r="I1295" i="1" s="1"/>
  <c r="D1295" i="1"/>
</calcChain>
</file>

<file path=xl/sharedStrings.xml><?xml version="1.0" encoding="utf-8"?>
<sst xmlns="http://schemas.openxmlformats.org/spreadsheetml/2006/main" count="221" uniqueCount="101">
  <si>
    <t>DEBET KELOMPOK TANI MAKMUR BULAN NOVEMBER 2025</t>
  </si>
  <si>
    <t>No.</t>
  </si>
  <si>
    <t>NAMA</t>
  </si>
  <si>
    <t>POKOK</t>
  </si>
  <si>
    <t>BUNGA</t>
  </si>
  <si>
    <t>HUTANG POKOK (+)</t>
  </si>
  <si>
    <t>HUTANG POKOK (-)</t>
  </si>
  <si>
    <t>HUTANG BUNGA (+)</t>
  </si>
  <si>
    <t>HUTANG BUNGA(-)</t>
  </si>
  <si>
    <t>JUMLAH BUNGA + HUTANG BUNGA</t>
  </si>
  <si>
    <t>Siti Rohmah</t>
  </si>
  <si>
    <t>Hj. Nur Fadhilah</t>
  </si>
  <si>
    <t>Isti Umami</t>
  </si>
  <si>
    <t>Jumlah</t>
  </si>
  <si>
    <t>Katemas, 03 November 2025</t>
  </si>
  <si>
    <t>AMNAN</t>
  </si>
  <si>
    <t>DEBET KELOMPOK TANI MAKMUR BULAN DESEMBER 2025</t>
  </si>
  <si>
    <t>JUMLAH POKOK+ BUNGA</t>
  </si>
  <si>
    <t>Katemas, 03 Desember 2025</t>
  </si>
  <si>
    <t>DEBET KELOMPOK TANI MAKMUR BULAN JANUARI 2026</t>
  </si>
  <si>
    <t>Katemas, 03 Januari 2026</t>
  </si>
  <si>
    <t>DEBET KELOMPOK TANI MAKMUR BULAN FEBRUARI 2026</t>
  </si>
  <si>
    <t>Katemas, 03 Februari 2026</t>
  </si>
  <si>
    <t>DEBET KELOMPOK TANI MAKMUR BULAN MARET 2026</t>
  </si>
  <si>
    <t>Katemas, 03 Maret 2026</t>
  </si>
  <si>
    <t>DEBET KELOMPOK TANI MAKMUR BULAN APRIL 2026</t>
  </si>
  <si>
    <t>Katemas, 03 April 2026</t>
  </si>
  <si>
    <t>DEBET KELOMPOK TANI MAKMUR BULAN MEI 2026</t>
  </si>
  <si>
    <t>Katemas, 03 Mei 2026</t>
  </si>
  <si>
    <t>DEBET KELOMPOK TANI MAKMUR BULAN JUNI 2026</t>
  </si>
  <si>
    <t>Katemas, 03 Juni 2026</t>
  </si>
  <si>
    <t>DEBET KELOMPOK TANI MAKMUR BULAN JULI 2026</t>
  </si>
  <si>
    <t>Abd Rochman 2</t>
  </si>
  <si>
    <t>Ali Muttaqin</t>
  </si>
  <si>
    <t>Amnan</t>
  </si>
  <si>
    <t>Bambang</t>
  </si>
  <si>
    <t>Erham</t>
  </si>
  <si>
    <t>Estuningati</t>
  </si>
  <si>
    <t>Faisal (Subarin)</t>
  </si>
  <si>
    <t>H. Nasikin</t>
  </si>
  <si>
    <t>H. Shonhaji</t>
  </si>
  <si>
    <t>Hanafi</t>
  </si>
  <si>
    <t>Hidayat</t>
  </si>
  <si>
    <t>Ika Tartila</t>
  </si>
  <si>
    <t>Jumiah 2</t>
  </si>
  <si>
    <t>Kamari</t>
  </si>
  <si>
    <t xml:space="preserve">Kolidi </t>
  </si>
  <si>
    <t>Kuspandi</t>
  </si>
  <si>
    <t>Malikan</t>
  </si>
  <si>
    <t xml:space="preserve">Mardiyah </t>
  </si>
  <si>
    <t>Matakrip</t>
  </si>
  <si>
    <t>Matelan (wir)</t>
  </si>
  <si>
    <t>Mathoha</t>
  </si>
  <si>
    <t>Matkasan</t>
  </si>
  <si>
    <t>Umi Nadhiroh</t>
  </si>
  <si>
    <t>Mi'an</t>
  </si>
  <si>
    <t>Mu'minin</t>
  </si>
  <si>
    <t>Munawar</t>
  </si>
  <si>
    <t>Muslikatin</t>
  </si>
  <si>
    <t>Nurhadi</t>
  </si>
  <si>
    <t>Siti Nurmahmudah</t>
  </si>
  <si>
    <t>Saeman</t>
  </si>
  <si>
    <t>Sarto</t>
  </si>
  <si>
    <t>Sholik 9</t>
  </si>
  <si>
    <t>Siono</t>
  </si>
  <si>
    <t>Sumadi</t>
  </si>
  <si>
    <t>Sumar</t>
  </si>
  <si>
    <t>Sunamah</t>
  </si>
  <si>
    <t>Supiani</t>
  </si>
  <si>
    <t>Supriaji</t>
  </si>
  <si>
    <t>Suwanan/Iksan</t>
  </si>
  <si>
    <t>Suwari</t>
  </si>
  <si>
    <t>Suyono 2</t>
  </si>
  <si>
    <t>Tisno</t>
  </si>
  <si>
    <t>Umi Kulsum</t>
  </si>
  <si>
    <t>Rofiq</t>
  </si>
  <si>
    <t>Siti Fatimah</t>
  </si>
  <si>
    <t>Zumaroh</t>
  </si>
  <si>
    <t>Ning Husniah</t>
  </si>
  <si>
    <t>Lu'luur R</t>
  </si>
  <si>
    <t>Umar</t>
  </si>
  <si>
    <t>Ana/Bu Khoiri</t>
  </si>
  <si>
    <t>Anik Mahsunah W</t>
  </si>
  <si>
    <t>Fajrul Ummah</t>
  </si>
  <si>
    <t>Imam Masrodin</t>
  </si>
  <si>
    <t>Muayanah</t>
  </si>
  <si>
    <t>Siswanto</t>
  </si>
  <si>
    <t>Bin Asiyah</t>
  </si>
  <si>
    <t>Tayem</t>
  </si>
  <si>
    <t>Sholahuddin Afif</t>
  </si>
  <si>
    <t>Masithah</t>
  </si>
  <si>
    <t>Rikayati</t>
  </si>
  <si>
    <t>Misbahuddin</t>
  </si>
  <si>
    <t>Munisah</t>
  </si>
  <si>
    <t>Katemas, 03 Juli 2026</t>
  </si>
  <si>
    <t>DEBET KELOMPOK TANI MAKMUR BULAN AGUSTUS 2025</t>
  </si>
  <si>
    <t>Katemas, 03  Agustus 2025</t>
  </si>
  <si>
    <t>DEBET KELOMPOK TANI MAKMUR BULAN SEPTEMBER 2025</t>
  </si>
  <si>
    <t>Katemas, 03 September 2025</t>
  </si>
  <si>
    <t>DEBET KELOMPOK TANI MAKMUR BULAN OKTOBER 2025</t>
  </si>
  <si>
    <t>Katemas, 03 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</si>
</sst>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6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theme="0"/>
      <name val="Arial Narrow"/>
      <family val="2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6"/>
      <color theme="1"/>
      <name val="Arial Narrow"/>
      <family val="2"/>
    </font>
    <font>
      <sz val="11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/>
    </xf>
    <xf numFmtId="1" fontId="4" fillId="0" borderId="3" xfId="0" quotePrefix="1" applyNumberFormat="1" applyFont="1" applyBorder="1" applyAlignment="1">
      <alignment horizontal="center" vertical="center"/>
    </xf>
    <xf numFmtId="0" fontId="4" fillId="0" borderId="3" xfId="0" applyFont="1" applyBorder="1"/>
    <xf numFmtId="3" fontId="4" fillId="0" borderId="4" xfId="0" applyNumberFormat="1" applyFont="1" applyBorder="1"/>
    <xf numFmtId="3" fontId="4" fillId="0" borderId="3" xfId="0" applyNumberFormat="1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3" fontId="5" fillId="0" borderId="7" xfId="0" applyNumberFormat="1" applyFont="1" applyBorder="1"/>
    <xf numFmtId="3" fontId="5" fillId="0" borderId="8" xfId="0" applyNumberFormat="1" applyFont="1" applyBorder="1"/>
    <xf numFmtId="3" fontId="5" fillId="0" borderId="9" xfId="0" applyNumberFormat="1" applyFont="1" applyBorder="1"/>
    <xf numFmtId="3" fontId="5" fillId="0" borderId="10" xfId="0" applyNumberFormat="1" applyFont="1" applyBorder="1"/>
    <xf numFmtId="0" fontId="5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/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4" fontId="4" fillId="0" borderId="15" xfId="0" applyNumberFormat="1" applyFont="1" applyBorder="1" applyAlignment="1">
      <alignment horizontal="center" vertical="center"/>
    </xf>
    <xf numFmtId="1" fontId="4" fillId="0" borderId="14" xfId="0" quotePrefix="1" applyNumberFormat="1" applyFont="1" applyBorder="1" applyAlignment="1">
      <alignment horizontal="center" vertical="center"/>
    </xf>
    <xf numFmtId="41" fontId="4" fillId="0" borderId="3" xfId="1" applyFont="1" applyBorder="1"/>
    <xf numFmtId="3" fontId="4" fillId="0" borderId="15" xfId="0" applyNumberFormat="1" applyFont="1" applyBorder="1"/>
    <xf numFmtId="0" fontId="5" fillId="0" borderId="1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3" fontId="5" fillId="0" borderId="17" xfId="0" applyNumberFormat="1" applyFont="1" applyBorder="1"/>
    <xf numFmtId="3" fontId="4" fillId="0" borderId="0" xfId="0" applyNumberFormat="1" applyFont="1"/>
    <xf numFmtId="1" fontId="3" fillId="0" borderId="3" xfId="0" quotePrefix="1" applyNumberFormat="1" applyFont="1" applyBorder="1" applyAlignment="1">
      <alignment horizontal="center" vertical="center"/>
    </xf>
    <xf numFmtId="0" fontId="3" fillId="0" borderId="3" xfId="0" applyFont="1" applyBorder="1"/>
    <xf numFmtId="3" fontId="3" fillId="0" borderId="4" xfId="0" applyNumberFormat="1" applyFont="1" applyBorder="1"/>
    <xf numFmtId="3" fontId="4" fillId="0" borderId="1" xfId="0" applyNumberFormat="1" applyFont="1" applyBorder="1"/>
    <xf numFmtId="1" fontId="3" fillId="0" borderId="2" xfId="0" quotePrefix="1" applyNumberFormat="1" applyFont="1" applyBorder="1" applyAlignment="1">
      <alignment horizontal="center" vertical="center"/>
    </xf>
    <xf numFmtId="3" fontId="4" fillId="0" borderId="2" xfId="0" applyNumberFormat="1" applyFont="1" applyBorder="1"/>
    <xf numFmtId="3" fontId="4" fillId="0" borderId="18" xfId="0" applyNumberFormat="1" applyFont="1" applyBorder="1"/>
    <xf numFmtId="3" fontId="6" fillId="0" borderId="3" xfId="0" applyNumberFormat="1" applyFont="1" applyBorder="1"/>
    <xf numFmtId="3" fontId="4" fillId="0" borderId="19" xfId="0" applyNumberFormat="1" applyFon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3" fontId="7" fillId="0" borderId="7" xfId="0" applyNumberFormat="1" applyFont="1" applyBorder="1"/>
    <xf numFmtId="3" fontId="7" fillId="0" borderId="8" xfId="0" applyNumberFormat="1" applyFont="1" applyBorder="1"/>
    <xf numFmtId="3" fontId="8" fillId="0" borderId="10" xfId="0" applyNumberFormat="1" applyFont="1" applyBorder="1"/>
    <xf numFmtId="3" fontId="3" fillId="0" borderId="0" xfId="0" applyNumberFormat="1" applyFont="1"/>
    <xf numFmtId="0" fontId="3" fillId="0" borderId="20" xfId="0" applyFont="1" applyBorder="1"/>
    <xf numFmtId="0" fontId="7" fillId="0" borderId="0" xfId="0" applyFont="1"/>
    <xf numFmtId="0" fontId="9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/>
    <xf numFmtId="41" fontId="4" fillId="0" borderId="0" xfId="1" applyFont="1"/>
    <xf numFmtId="41" fontId="4" fillId="0" borderId="1" xfId="1" applyFont="1" applyBorder="1"/>
    <xf numFmtId="41" fontId="4" fillId="0" borderId="18" xfId="1" applyFont="1" applyBorder="1"/>
    <xf numFmtId="41" fontId="4" fillId="0" borderId="2" xfId="1" applyFont="1" applyBorder="1"/>
    <xf numFmtId="41" fontId="4" fillId="0" borderId="19" xfId="1" applyFont="1" applyBorder="1"/>
    <xf numFmtId="0" fontId="3" fillId="0" borderId="1" xfId="0" applyFont="1" applyBorder="1"/>
    <xf numFmtId="0" fontId="3" fillId="0" borderId="18" xfId="0" applyFont="1" applyBorder="1"/>
    <xf numFmtId="3" fontId="10" fillId="0" borderId="3" xfId="0" applyNumberFormat="1" applyFont="1" applyBorder="1"/>
    <xf numFmtId="3" fontId="10" fillId="0" borderId="1" xfId="0" applyNumberFormat="1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Kelompok%20Tani%20Makmur%20(2025-2026)%20(new).xlsx" TargetMode="External"/><Relationship Id="rId1" Type="http://schemas.openxmlformats.org/officeDocument/2006/relationships/externalLinkPath" Target="file:///C:\Users\user\Downloads\Kelompok%20Tani%20Makmur%20(2025-2026)%20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5-26"/>
      <sheetName val="24-25"/>
    </sheetNames>
    <sheetDataSet>
      <sheetData sheetId="0"/>
      <sheetData sheetId="1">
        <row r="1230">
          <cell r="B1230" t="str">
            <v>Ali Muttaqin</v>
          </cell>
          <cell r="E1230">
            <v>4000000</v>
          </cell>
        </row>
        <row r="1231">
          <cell r="B1231" t="str">
            <v>Amnan</v>
          </cell>
        </row>
        <row r="1232">
          <cell r="B1232" t="str">
            <v>Bambang</v>
          </cell>
          <cell r="E1232">
            <v>7300000</v>
          </cell>
        </row>
        <row r="1233">
          <cell r="B1233" t="str">
            <v>Erham</v>
          </cell>
        </row>
        <row r="1234">
          <cell r="B1234" t="str">
            <v>Estuningati</v>
          </cell>
          <cell r="E1234">
            <v>4000000</v>
          </cell>
        </row>
        <row r="1235">
          <cell r="B1235" t="str">
            <v>Faisal (Subarin)</v>
          </cell>
          <cell r="E1235">
            <v>4000000</v>
          </cell>
        </row>
        <row r="1237">
          <cell r="E1237">
            <v>2000000</v>
          </cell>
        </row>
        <row r="1238">
          <cell r="B1238" t="str">
            <v>Hanafi</v>
          </cell>
          <cell r="E1238">
            <v>1000000</v>
          </cell>
        </row>
        <row r="1239">
          <cell r="B1239" t="str">
            <v>Hidayat</v>
          </cell>
          <cell r="E1239">
            <v>1500000</v>
          </cell>
        </row>
        <row r="1240">
          <cell r="B1240" t="str">
            <v>Ika Tartila</v>
          </cell>
          <cell r="E1240">
            <v>3000000</v>
          </cell>
        </row>
        <row r="1241">
          <cell r="B1241" t="str">
            <v>Jumiah 2</v>
          </cell>
          <cell r="E1241">
            <v>2000000</v>
          </cell>
        </row>
        <row r="1242">
          <cell r="B1242" t="str">
            <v>Kamari</v>
          </cell>
          <cell r="E1242">
            <v>7100000</v>
          </cell>
        </row>
        <row r="1243">
          <cell r="B1243" t="str">
            <v xml:space="preserve">Kolidi </v>
          </cell>
          <cell r="E1243">
            <v>2000000</v>
          </cell>
        </row>
        <row r="1244">
          <cell r="B1244" t="str">
            <v>Kuspandi</v>
          </cell>
          <cell r="E1244">
            <v>1500000</v>
          </cell>
        </row>
        <row r="1245">
          <cell r="B1245" t="str">
            <v>Malikan</v>
          </cell>
          <cell r="E1245">
            <v>500000</v>
          </cell>
        </row>
        <row r="1246">
          <cell r="B1246" t="str">
            <v xml:space="preserve">Mardiyah </v>
          </cell>
        </row>
        <row r="1247">
          <cell r="B1247" t="str">
            <v>Matakrip</v>
          </cell>
        </row>
        <row r="1248">
          <cell r="E1248">
            <v>3900000</v>
          </cell>
        </row>
        <row r="1249">
          <cell r="B1249" t="str">
            <v>Mathoha</v>
          </cell>
          <cell r="E1249">
            <v>3500000</v>
          </cell>
        </row>
        <row r="1250">
          <cell r="B1250" t="str">
            <v>Matkasan</v>
          </cell>
          <cell r="E1250">
            <v>1000000</v>
          </cell>
        </row>
        <row r="1251">
          <cell r="B1251" t="str">
            <v>Umi Nadhiroh</v>
          </cell>
        </row>
        <row r="1252">
          <cell r="B1252" t="str">
            <v>Mi'an</v>
          </cell>
          <cell r="E1252">
            <v>5700000</v>
          </cell>
        </row>
        <row r="1253">
          <cell r="B1253" t="str">
            <v>Mu'minin</v>
          </cell>
        </row>
        <row r="1254">
          <cell r="B1254" t="str">
            <v>Munawar</v>
          </cell>
          <cell r="E1254">
            <v>3300000</v>
          </cell>
        </row>
        <row r="1255">
          <cell r="B1255" t="str">
            <v>Muslikatin</v>
          </cell>
        </row>
        <row r="1256">
          <cell r="B1256" t="str">
            <v>Nurhadi</v>
          </cell>
          <cell r="E1256">
            <v>2000000</v>
          </cell>
        </row>
        <row r="1257">
          <cell r="B1257" t="str">
            <v>Siti Nurmahmudah</v>
          </cell>
          <cell r="E1257">
            <v>6500000</v>
          </cell>
        </row>
        <row r="1258">
          <cell r="B1258" t="str">
            <v>Saeman</v>
          </cell>
          <cell r="E1258">
            <v>7000000</v>
          </cell>
        </row>
        <row r="1259">
          <cell r="B1259" t="str">
            <v>Sarto</v>
          </cell>
          <cell r="E1259">
            <v>2000000</v>
          </cell>
        </row>
        <row r="1260">
          <cell r="B1260" t="str">
            <v>Sholik 9</v>
          </cell>
        </row>
        <row r="1261">
          <cell r="B1261" t="str">
            <v>Siono</v>
          </cell>
          <cell r="E1261">
            <v>6000000</v>
          </cell>
        </row>
        <row r="1262">
          <cell r="B1262" t="str">
            <v>Sumadi</v>
          </cell>
          <cell r="E1262">
            <v>5500000</v>
          </cell>
        </row>
        <row r="1263">
          <cell r="B1263" t="str">
            <v>Sumar</v>
          </cell>
          <cell r="E1263">
            <v>4000000</v>
          </cell>
        </row>
        <row r="1264">
          <cell r="B1264" t="str">
            <v>Sunamah</v>
          </cell>
          <cell r="E1264">
            <v>5500000</v>
          </cell>
        </row>
        <row r="1265">
          <cell r="B1265" t="str">
            <v>Supiani</v>
          </cell>
          <cell r="E1265">
            <v>2000000</v>
          </cell>
        </row>
        <row r="1266">
          <cell r="B1266" t="str">
            <v>Supriaji</v>
          </cell>
          <cell r="E1266">
            <v>10000000</v>
          </cell>
        </row>
        <row r="1267">
          <cell r="B1267" t="str">
            <v>Suwanan/Iksan</v>
          </cell>
          <cell r="E1267">
            <v>4000000</v>
          </cell>
        </row>
        <row r="1268">
          <cell r="B1268" t="str">
            <v>Suwari</v>
          </cell>
          <cell r="E1268">
            <v>1000000</v>
          </cell>
        </row>
        <row r="1269">
          <cell r="B1269" t="str">
            <v>Suyono 2</v>
          </cell>
          <cell r="E1269">
            <v>8500000</v>
          </cell>
        </row>
        <row r="1270">
          <cell r="B1270" t="str">
            <v>Tisno</v>
          </cell>
          <cell r="E1270">
            <v>2000000</v>
          </cell>
        </row>
        <row r="1271">
          <cell r="B1271" t="str">
            <v>Umi Kulsum</v>
          </cell>
          <cell r="E1271">
            <v>4000000</v>
          </cell>
        </row>
        <row r="1272">
          <cell r="B1272" t="str">
            <v>Rofiq</v>
          </cell>
          <cell r="E1272">
            <v>1500000</v>
          </cell>
        </row>
        <row r="1274">
          <cell r="B1274" t="str">
            <v>Zumaroh</v>
          </cell>
          <cell r="E1274">
            <v>3000000</v>
          </cell>
        </row>
        <row r="1275">
          <cell r="B1275" t="str">
            <v>Ning Husniah</v>
          </cell>
          <cell r="E1275">
            <v>1000000</v>
          </cell>
        </row>
        <row r="1276">
          <cell r="B1276" t="str">
            <v>Lu'luur R</v>
          </cell>
          <cell r="E1276">
            <v>7000000</v>
          </cell>
        </row>
        <row r="1277">
          <cell r="B1277" t="str">
            <v>Umar</v>
          </cell>
          <cell r="E1277">
            <v>1500000</v>
          </cell>
        </row>
        <row r="1278">
          <cell r="B1278" t="str">
            <v>Ana/Bu Khoiri</v>
          </cell>
          <cell r="E1278">
            <v>1000000</v>
          </cell>
        </row>
        <row r="1279">
          <cell r="B1279" t="str">
            <v>Anik Mahsunah W</v>
          </cell>
        </row>
        <row r="1280">
          <cell r="B1280" t="str">
            <v>Fajrul Ummah</v>
          </cell>
          <cell r="E1280">
            <v>16500000</v>
          </cell>
        </row>
        <row r="1281">
          <cell r="B1281" t="str">
            <v>Imam Masrodin</v>
          </cell>
          <cell r="E1281">
            <v>500000</v>
          </cell>
        </row>
        <row r="1282">
          <cell r="B1282" t="str">
            <v>Muayanah</v>
          </cell>
          <cell r="E1282">
            <v>7300000</v>
          </cell>
        </row>
        <row r="1283">
          <cell r="B1283" t="str">
            <v>Siswanto</v>
          </cell>
          <cell r="E1283">
            <v>2500000</v>
          </cell>
        </row>
        <row r="1284">
          <cell r="B1284" t="str">
            <v>Bin Asiyah</v>
          </cell>
          <cell r="E1284">
            <v>6000000</v>
          </cell>
        </row>
        <row r="1285">
          <cell r="B1285" t="str">
            <v>Tayem</v>
          </cell>
          <cell r="E1285">
            <v>14500000</v>
          </cell>
        </row>
        <row r="1286">
          <cell r="B1286" t="str">
            <v>Sholahuddin Afif</v>
          </cell>
          <cell r="E1286">
            <v>13000000</v>
          </cell>
        </row>
        <row r="1287">
          <cell r="B1287" t="str">
            <v>Masithah</v>
          </cell>
          <cell r="E1287">
            <v>1000000</v>
          </cell>
        </row>
        <row r="1288">
          <cell r="B1288" t="str">
            <v>Rikayati</v>
          </cell>
        </row>
        <row r="1289">
          <cell r="B1289" t="str">
            <v>Misbahuddin</v>
          </cell>
        </row>
        <row r="1290">
          <cell r="B1290" t="str">
            <v>Munisah</v>
          </cell>
          <cell r="E1290">
            <v>500000</v>
          </cell>
        </row>
        <row r="1291">
          <cell r="B129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3839-0FFC-4F7F-9F58-6589F1FACA75}">
  <dimension ref="A1:I1301"/>
  <sheetViews>
    <sheetView tabSelected="1" view="pageLayout" topLeftCell="A782" zoomScale="88" zoomScaleNormal="100" zoomScalePageLayoutView="88" workbookViewId="0">
      <selection activeCell="A782" sqref="A782:I855"/>
    </sheetView>
  </sheetViews>
  <sheetFormatPr defaultColWidth="5.85546875" defaultRowHeight="16.5" x14ac:dyDescent="0.3"/>
  <cols>
    <col min="1" max="1" width="5.140625" style="2" customWidth="1"/>
    <col min="2" max="2" width="15.85546875" style="2" customWidth="1"/>
    <col min="3" max="3" width="12.5703125" style="2" customWidth="1"/>
    <col min="4" max="4" width="11.5703125" style="2" customWidth="1"/>
    <col min="5" max="8" width="11.42578125" style="2" customWidth="1"/>
    <col min="9" max="9" width="12.42578125" style="3" customWidth="1"/>
    <col min="10" max="16384" width="5.85546875" style="2"/>
  </cols>
  <sheetData>
    <row r="1" spans="1:9" ht="20.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3"/>
      <c r="B2" s="3"/>
      <c r="C2" s="3"/>
      <c r="D2" s="3"/>
      <c r="E2" s="3"/>
      <c r="F2" s="3"/>
      <c r="G2" s="3"/>
      <c r="H2" s="3"/>
    </row>
    <row r="3" spans="1:9" ht="51" customHeight="1" x14ac:dyDescent="0.3">
      <c r="A3" s="4" t="s">
        <v>1</v>
      </c>
      <c r="B3" s="4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</row>
    <row r="4" spans="1:9" x14ac:dyDescent="0.3">
      <c r="A4" s="6"/>
      <c r="B4" s="6"/>
      <c r="C4" s="6"/>
      <c r="D4" s="7">
        <v>45964</v>
      </c>
      <c r="E4" s="7">
        <f>D4</f>
        <v>45964</v>
      </c>
      <c r="F4" s="7">
        <f>E4</f>
        <v>45964</v>
      </c>
      <c r="G4" s="7">
        <f>F4</f>
        <v>45964</v>
      </c>
      <c r="H4" s="7">
        <f>G4</f>
        <v>45964</v>
      </c>
      <c r="I4" s="7">
        <f>H4</f>
        <v>45964</v>
      </c>
    </row>
    <row r="5" spans="1:9" x14ac:dyDescent="0.3">
      <c r="A5" s="8">
        <v>1</v>
      </c>
      <c r="B5" s="9" t="s">
        <v>10</v>
      </c>
      <c r="C5" s="10">
        <v>13500000</v>
      </c>
      <c r="D5" s="11">
        <f>C5*3%</f>
        <v>405000</v>
      </c>
      <c r="E5" s="11"/>
      <c r="F5" s="11"/>
      <c r="G5" s="11"/>
      <c r="H5" s="11"/>
      <c r="I5" s="11">
        <f>C5+E5-F5+G5-H5</f>
        <v>13500000</v>
      </c>
    </row>
    <row r="6" spans="1:9" x14ac:dyDescent="0.3">
      <c r="A6" s="8">
        <v>2</v>
      </c>
      <c r="B6" s="9" t="str">
        <f>'[1]24-25'!B1230</f>
        <v>Ali Muttaqin</v>
      </c>
      <c r="C6" s="10">
        <f>'[1]24-25'!E1230</f>
        <v>4000000</v>
      </c>
      <c r="D6" s="11">
        <f t="shared" ref="D6:D64" si="0">C6*3%</f>
        <v>120000</v>
      </c>
      <c r="E6" s="11"/>
      <c r="F6" s="11"/>
      <c r="G6" s="11"/>
      <c r="H6" s="11"/>
      <c r="I6" s="11">
        <f t="shared" ref="I6:I64" si="1">C6+E6-F6+G6-H6</f>
        <v>4000000</v>
      </c>
    </row>
    <row r="7" spans="1:9" x14ac:dyDescent="0.3">
      <c r="A7" s="8">
        <v>3</v>
      </c>
      <c r="B7" s="9" t="str">
        <f>'[1]24-25'!B1231</f>
        <v>Amnan</v>
      </c>
      <c r="C7" s="10">
        <v>7900000</v>
      </c>
      <c r="D7" s="11">
        <f t="shared" si="0"/>
        <v>237000</v>
      </c>
      <c r="E7" s="11"/>
      <c r="F7" s="11"/>
      <c r="G7" s="11"/>
      <c r="H7" s="11"/>
      <c r="I7" s="11">
        <f t="shared" si="1"/>
        <v>7900000</v>
      </c>
    </row>
    <row r="8" spans="1:9" x14ac:dyDescent="0.3">
      <c r="A8" s="8">
        <v>4</v>
      </c>
      <c r="B8" s="9" t="str">
        <f>'[1]24-25'!B1232</f>
        <v>Bambang</v>
      </c>
      <c r="C8" s="10">
        <f>'[1]24-25'!E1232</f>
        <v>7300000</v>
      </c>
      <c r="D8" s="11">
        <f t="shared" si="0"/>
        <v>219000</v>
      </c>
      <c r="E8" s="11"/>
      <c r="F8" s="11"/>
      <c r="G8" s="11">
        <v>500000</v>
      </c>
      <c r="H8" s="11"/>
      <c r="I8" s="11">
        <f t="shared" si="1"/>
        <v>7800000</v>
      </c>
    </row>
    <row r="9" spans="1:9" x14ac:dyDescent="0.3">
      <c r="A9" s="8">
        <v>5</v>
      </c>
      <c r="B9" s="9" t="str">
        <f>'[1]24-25'!B1233</f>
        <v>Erham</v>
      </c>
      <c r="C9" s="10">
        <v>5300000</v>
      </c>
      <c r="D9" s="11">
        <f t="shared" si="0"/>
        <v>159000</v>
      </c>
      <c r="E9" s="11"/>
      <c r="F9" s="11"/>
      <c r="G9" s="11"/>
      <c r="H9" s="11"/>
      <c r="I9" s="11">
        <f t="shared" si="1"/>
        <v>5300000</v>
      </c>
    </row>
    <row r="10" spans="1:9" x14ac:dyDescent="0.3">
      <c r="A10" s="8">
        <v>6</v>
      </c>
      <c r="B10" s="9" t="str">
        <f>'[1]24-25'!B1234</f>
        <v>Estuningati</v>
      </c>
      <c r="C10" s="10">
        <f>'[1]24-25'!E1234</f>
        <v>4000000</v>
      </c>
      <c r="D10" s="11">
        <f t="shared" si="0"/>
        <v>120000</v>
      </c>
      <c r="E10" s="11"/>
      <c r="F10" s="11"/>
      <c r="G10" s="11"/>
      <c r="H10" s="11"/>
      <c r="I10" s="11">
        <f t="shared" si="1"/>
        <v>4000000</v>
      </c>
    </row>
    <row r="11" spans="1:9" x14ac:dyDescent="0.3">
      <c r="A11" s="8">
        <v>7</v>
      </c>
      <c r="B11" s="9" t="str">
        <f>'[1]24-25'!B1235</f>
        <v>Faisal (Subarin)</v>
      </c>
      <c r="C11" s="10">
        <f>'[1]24-25'!E1235</f>
        <v>4000000</v>
      </c>
      <c r="D11" s="11">
        <f t="shared" si="0"/>
        <v>120000</v>
      </c>
      <c r="E11" s="11"/>
      <c r="F11" s="11"/>
      <c r="G11" s="11"/>
      <c r="H11" s="11"/>
      <c r="I11" s="11">
        <f t="shared" si="1"/>
        <v>4000000</v>
      </c>
    </row>
    <row r="12" spans="1:9" x14ac:dyDescent="0.3">
      <c r="A12" s="8">
        <v>8</v>
      </c>
      <c r="B12" s="9" t="s">
        <v>11</v>
      </c>
      <c r="C12" s="10">
        <f>'[1]24-25'!E1237</f>
        <v>2000000</v>
      </c>
      <c r="D12" s="11">
        <f t="shared" si="0"/>
        <v>60000</v>
      </c>
      <c r="E12" s="11"/>
      <c r="F12" s="11"/>
      <c r="G12" s="11"/>
      <c r="H12" s="11"/>
      <c r="I12" s="11">
        <f t="shared" si="1"/>
        <v>2000000</v>
      </c>
    </row>
    <row r="13" spans="1:9" x14ac:dyDescent="0.3">
      <c r="A13" s="8">
        <v>9</v>
      </c>
      <c r="B13" s="9" t="str">
        <f>'[1]24-25'!B1238</f>
        <v>Hanafi</v>
      </c>
      <c r="C13" s="10">
        <f>'[1]24-25'!E1238</f>
        <v>1000000</v>
      </c>
      <c r="D13" s="11">
        <f t="shared" si="0"/>
        <v>30000</v>
      </c>
      <c r="E13" s="11"/>
      <c r="F13" s="11"/>
      <c r="G13" s="11"/>
      <c r="H13" s="11"/>
      <c r="I13" s="11">
        <f t="shared" si="1"/>
        <v>1000000</v>
      </c>
    </row>
    <row r="14" spans="1:9" x14ac:dyDescent="0.3">
      <c r="A14" s="8">
        <v>10</v>
      </c>
      <c r="B14" s="9" t="str">
        <f>'[1]24-25'!B1239</f>
        <v>Hidayat</v>
      </c>
      <c r="C14" s="10">
        <f>'[1]24-25'!E1239</f>
        <v>1500000</v>
      </c>
      <c r="D14" s="11">
        <f t="shared" si="0"/>
        <v>45000</v>
      </c>
      <c r="E14" s="11"/>
      <c r="F14" s="11"/>
      <c r="G14" s="11"/>
      <c r="H14" s="11"/>
      <c r="I14" s="11">
        <f t="shared" si="1"/>
        <v>1500000</v>
      </c>
    </row>
    <row r="15" spans="1:9" x14ac:dyDescent="0.3">
      <c r="A15" s="8">
        <v>11</v>
      </c>
      <c r="B15" s="9" t="str">
        <f>'[1]24-25'!B1240</f>
        <v>Ika Tartila</v>
      </c>
      <c r="C15" s="10">
        <f>'[1]24-25'!E1240</f>
        <v>3000000</v>
      </c>
      <c r="D15" s="11">
        <f t="shared" si="0"/>
        <v>90000</v>
      </c>
      <c r="E15" s="11"/>
      <c r="F15" s="11"/>
      <c r="G15" s="11">
        <v>300000</v>
      </c>
      <c r="H15" s="11"/>
      <c r="I15" s="11">
        <f t="shared" si="1"/>
        <v>3300000</v>
      </c>
    </row>
    <row r="16" spans="1:9" x14ac:dyDescent="0.3">
      <c r="A16" s="8">
        <v>12</v>
      </c>
      <c r="B16" s="9" t="str">
        <f>'[1]24-25'!B1241</f>
        <v>Jumiah 2</v>
      </c>
      <c r="C16" s="10">
        <f>'[1]24-25'!E1241</f>
        <v>2000000</v>
      </c>
      <c r="D16" s="11">
        <f t="shared" si="0"/>
        <v>60000</v>
      </c>
      <c r="E16" s="11"/>
      <c r="F16" s="11"/>
      <c r="G16" s="11">
        <v>60000</v>
      </c>
      <c r="H16" s="11">
        <v>60000</v>
      </c>
      <c r="I16" s="11">
        <f t="shared" si="1"/>
        <v>2000000</v>
      </c>
    </row>
    <row r="17" spans="1:9" x14ac:dyDescent="0.3">
      <c r="A17" s="8">
        <v>13</v>
      </c>
      <c r="B17" s="9" t="str">
        <f>'[1]24-25'!B1242</f>
        <v>Kamari</v>
      </c>
      <c r="C17" s="10">
        <f>'[1]24-25'!E1242</f>
        <v>7100000</v>
      </c>
      <c r="D17" s="11">
        <f t="shared" si="0"/>
        <v>213000</v>
      </c>
      <c r="E17" s="11"/>
      <c r="F17" s="11"/>
      <c r="G17" s="11"/>
      <c r="H17" s="11"/>
      <c r="I17" s="11">
        <f t="shared" si="1"/>
        <v>7100000</v>
      </c>
    </row>
    <row r="18" spans="1:9" x14ac:dyDescent="0.3">
      <c r="A18" s="8">
        <v>14</v>
      </c>
      <c r="B18" s="9" t="str">
        <f>'[1]24-25'!B1243</f>
        <v xml:space="preserve">Kolidi </v>
      </c>
      <c r="C18" s="10">
        <f>'[1]24-25'!E1243</f>
        <v>2000000</v>
      </c>
      <c r="D18" s="11">
        <f t="shared" si="0"/>
        <v>60000</v>
      </c>
      <c r="E18" s="11"/>
      <c r="F18" s="11"/>
      <c r="G18" s="11">
        <v>500000</v>
      </c>
      <c r="H18" s="11"/>
      <c r="I18" s="11">
        <f t="shared" si="1"/>
        <v>2500000</v>
      </c>
    </row>
    <row r="19" spans="1:9" x14ac:dyDescent="0.3">
      <c r="A19" s="8">
        <v>15</v>
      </c>
      <c r="B19" s="9" t="str">
        <f>'[1]24-25'!B1244</f>
        <v>Kuspandi</v>
      </c>
      <c r="C19" s="10">
        <f>'[1]24-25'!E1244</f>
        <v>1500000</v>
      </c>
      <c r="D19" s="11">
        <f t="shared" si="0"/>
        <v>45000</v>
      </c>
      <c r="E19" s="11"/>
      <c r="F19" s="11"/>
      <c r="G19" s="11">
        <v>45000</v>
      </c>
      <c r="H19" s="11"/>
      <c r="I19" s="11">
        <f t="shared" si="1"/>
        <v>1545000</v>
      </c>
    </row>
    <row r="20" spans="1:9" x14ac:dyDescent="0.3">
      <c r="A20" s="8">
        <v>16</v>
      </c>
      <c r="B20" s="9" t="str">
        <f>'[1]24-25'!B1245</f>
        <v>Malikan</v>
      </c>
      <c r="C20" s="10">
        <f>'[1]24-25'!E1245</f>
        <v>500000</v>
      </c>
      <c r="D20" s="11">
        <f t="shared" si="0"/>
        <v>15000</v>
      </c>
      <c r="E20" s="11"/>
      <c r="F20" s="11"/>
      <c r="G20" s="11"/>
      <c r="H20" s="11"/>
      <c r="I20" s="11">
        <f t="shared" si="1"/>
        <v>500000</v>
      </c>
    </row>
    <row r="21" spans="1:9" x14ac:dyDescent="0.3">
      <c r="A21" s="8">
        <v>17</v>
      </c>
      <c r="B21" s="9" t="str">
        <f>'[1]24-25'!B1246</f>
        <v xml:space="preserve">Mardiyah </v>
      </c>
      <c r="C21" s="10">
        <v>11000000</v>
      </c>
      <c r="D21" s="11">
        <f t="shared" si="0"/>
        <v>330000</v>
      </c>
      <c r="E21" s="11"/>
      <c r="F21" s="11"/>
      <c r="G21" s="11"/>
      <c r="H21" s="11"/>
      <c r="I21" s="11">
        <f t="shared" si="1"/>
        <v>11000000</v>
      </c>
    </row>
    <row r="22" spans="1:9" x14ac:dyDescent="0.3">
      <c r="A22" s="8">
        <v>18</v>
      </c>
      <c r="B22" s="9" t="str">
        <f>'[1]24-25'!B1247</f>
        <v>Matakrip</v>
      </c>
      <c r="C22" s="10">
        <v>1500000</v>
      </c>
      <c r="D22" s="11">
        <f t="shared" si="0"/>
        <v>45000</v>
      </c>
      <c r="E22" s="11"/>
      <c r="F22" s="11"/>
      <c r="G22" s="11"/>
      <c r="H22" s="11"/>
      <c r="I22" s="11">
        <f t="shared" si="1"/>
        <v>1500000</v>
      </c>
    </row>
    <row r="23" spans="1:9" x14ac:dyDescent="0.3">
      <c r="A23" s="8">
        <v>19</v>
      </c>
      <c r="B23" s="9" t="s">
        <v>12</v>
      </c>
      <c r="C23" s="10">
        <f>'[1]24-25'!E1248</f>
        <v>3900000</v>
      </c>
      <c r="D23" s="11">
        <f t="shared" si="0"/>
        <v>117000</v>
      </c>
      <c r="E23" s="11"/>
      <c r="F23" s="11"/>
      <c r="G23" s="11"/>
      <c r="H23" s="11"/>
      <c r="I23" s="11">
        <f t="shared" si="1"/>
        <v>3900000</v>
      </c>
    </row>
    <row r="24" spans="1:9" x14ac:dyDescent="0.3">
      <c r="A24" s="8">
        <v>20</v>
      </c>
      <c r="B24" s="9" t="str">
        <f>'[1]24-25'!B1249</f>
        <v>Mathoha</v>
      </c>
      <c r="C24" s="10">
        <f>'[1]24-25'!E1249</f>
        <v>3500000</v>
      </c>
      <c r="D24" s="11">
        <f t="shared" si="0"/>
        <v>105000</v>
      </c>
      <c r="E24" s="11"/>
      <c r="F24" s="11"/>
      <c r="G24" s="11"/>
      <c r="H24" s="11"/>
      <c r="I24" s="11">
        <f t="shared" si="1"/>
        <v>3500000</v>
      </c>
    </row>
    <row r="25" spans="1:9" x14ac:dyDescent="0.3">
      <c r="A25" s="8">
        <v>21</v>
      </c>
      <c r="B25" s="9" t="str">
        <f>'[1]24-25'!B1250</f>
        <v>Matkasan</v>
      </c>
      <c r="C25" s="10">
        <f>'[1]24-25'!E1250</f>
        <v>1000000</v>
      </c>
      <c r="D25" s="11">
        <f t="shared" si="0"/>
        <v>30000</v>
      </c>
      <c r="E25" s="11"/>
      <c r="F25" s="11"/>
      <c r="G25" s="11"/>
      <c r="H25" s="11"/>
      <c r="I25" s="11">
        <f t="shared" si="1"/>
        <v>1000000</v>
      </c>
    </row>
    <row r="26" spans="1:9" x14ac:dyDescent="0.3">
      <c r="A26" s="8">
        <v>22</v>
      </c>
      <c r="B26" s="9" t="str">
        <f>'[1]24-25'!B1251</f>
        <v>Umi Nadhiroh</v>
      </c>
      <c r="C26" s="10">
        <v>2000000</v>
      </c>
      <c r="D26" s="11">
        <f t="shared" si="0"/>
        <v>60000</v>
      </c>
      <c r="E26" s="11"/>
      <c r="F26" s="11"/>
      <c r="G26" s="11">
        <v>500000</v>
      </c>
      <c r="H26" s="11"/>
      <c r="I26" s="11">
        <f t="shared" si="1"/>
        <v>2500000</v>
      </c>
    </row>
    <row r="27" spans="1:9" x14ac:dyDescent="0.3">
      <c r="A27" s="8">
        <v>23</v>
      </c>
      <c r="B27" s="9" t="str">
        <f>'[1]24-25'!B1252</f>
        <v>Mi'an</v>
      </c>
      <c r="C27" s="10">
        <f>'[1]24-25'!E1252</f>
        <v>5700000</v>
      </c>
      <c r="D27" s="11">
        <f t="shared" si="0"/>
        <v>171000</v>
      </c>
      <c r="E27" s="11"/>
      <c r="F27" s="11"/>
      <c r="G27" s="11"/>
      <c r="H27" s="11"/>
      <c r="I27" s="11">
        <f t="shared" si="1"/>
        <v>5700000</v>
      </c>
    </row>
    <row r="28" spans="1:9" x14ac:dyDescent="0.3">
      <c r="A28" s="8">
        <v>24</v>
      </c>
      <c r="B28" s="9" t="str">
        <f>'[1]24-25'!B1253</f>
        <v>Mu'minin</v>
      </c>
      <c r="C28" s="10">
        <v>4000000</v>
      </c>
      <c r="D28" s="11">
        <f t="shared" si="0"/>
        <v>120000</v>
      </c>
      <c r="E28" s="11"/>
      <c r="F28" s="11"/>
      <c r="G28" s="11"/>
      <c r="H28" s="11"/>
      <c r="I28" s="11">
        <f t="shared" si="1"/>
        <v>4000000</v>
      </c>
    </row>
    <row r="29" spans="1:9" x14ac:dyDescent="0.3">
      <c r="A29" s="8">
        <v>25</v>
      </c>
      <c r="B29" s="9" t="str">
        <f>'[1]24-25'!B1254</f>
        <v>Munawar</v>
      </c>
      <c r="C29" s="10">
        <f>'[1]24-25'!E1254</f>
        <v>3300000</v>
      </c>
      <c r="D29" s="11">
        <f t="shared" si="0"/>
        <v>99000</v>
      </c>
      <c r="E29" s="11"/>
      <c r="F29" s="11"/>
      <c r="G29" s="11"/>
      <c r="H29" s="11"/>
      <c r="I29" s="11">
        <f t="shared" si="1"/>
        <v>3300000</v>
      </c>
    </row>
    <row r="30" spans="1:9" x14ac:dyDescent="0.3">
      <c r="A30" s="8">
        <v>26</v>
      </c>
      <c r="B30" s="9" t="str">
        <f>'[1]24-25'!B1255</f>
        <v>Muslikatin</v>
      </c>
      <c r="C30" s="10">
        <v>1000000</v>
      </c>
      <c r="D30" s="11">
        <f t="shared" si="0"/>
        <v>30000</v>
      </c>
      <c r="E30" s="11"/>
      <c r="F30" s="11"/>
      <c r="G30" s="11"/>
      <c r="H30" s="11"/>
      <c r="I30" s="11">
        <f t="shared" si="1"/>
        <v>1000000</v>
      </c>
    </row>
    <row r="31" spans="1:9" x14ac:dyDescent="0.3">
      <c r="A31" s="8">
        <v>27</v>
      </c>
      <c r="B31" s="9" t="str">
        <f>'[1]24-25'!B1256</f>
        <v>Nurhadi</v>
      </c>
      <c r="C31" s="10">
        <f>'[1]24-25'!E1256</f>
        <v>2000000</v>
      </c>
      <c r="D31" s="11">
        <f t="shared" si="0"/>
        <v>60000</v>
      </c>
      <c r="E31" s="11"/>
      <c r="F31" s="11"/>
      <c r="G31" s="11"/>
      <c r="H31" s="11"/>
      <c r="I31" s="11">
        <f t="shared" si="1"/>
        <v>2000000</v>
      </c>
    </row>
    <row r="32" spans="1:9" x14ac:dyDescent="0.3">
      <c r="A32" s="8">
        <v>28</v>
      </c>
      <c r="B32" s="9" t="str">
        <f>'[1]24-25'!B1257</f>
        <v>Siti Nurmahmudah</v>
      </c>
      <c r="C32" s="10">
        <f>'[1]24-25'!E1257</f>
        <v>6500000</v>
      </c>
      <c r="D32" s="11">
        <f t="shared" si="0"/>
        <v>195000</v>
      </c>
      <c r="E32" s="11"/>
      <c r="F32" s="11"/>
      <c r="G32" s="11"/>
      <c r="H32" s="11"/>
      <c r="I32" s="11">
        <f t="shared" si="1"/>
        <v>6500000</v>
      </c>
    </row>
    <row r="33" spans="1:9" x14ac:dyDescent="0.3">
      <c r="A33" s="8">
        <v>29</v>
      </c>
      <c r="B33" s="9" t="str">
        <f>'[1]24-25'!B1258</f>
        <v>Saeman</v>
      </c>
      <c r="C33" s="10">
        <f>'[1]24-25'!E1258</f>
        <v>7000000</v>
      </c>
      <c r="D33" s="11">
        <f t="shared" si="0"/>
        <v>210000</v>
      </c>
      <c r="E33" s="11"/>
      <c r="F33" s="11"/>
      <c r="G33" s="11"/>
      <c r="H33" s="11"/>
      <c r="I33" s="11">
        <f t="shared" si="1"/>
        <v>7000000</v>
      </c>
    </row>
    <row r="34" spans="1:9" x14ac:dyDescent="0.3">
      <c r="A34" s="8">
        <v>30</v>
      </c>
      <c r="B34" s="9" t="str">
        <f>'[1]24-25'!B1259</f>
        <v>Sarto</v>
      </c>
      <c r="C34" s="10">
        <f>'[1]24-25'!E1259</f>
        <v>2000000</v>
      </c>
      <c r="D34" s="11">
        <f t="shared" si="0"/>
        <v>60000</v>
      </c>
      <c r="E34" s="11"/>
      <c r="F34" s="11"/>
      <c r="G34" s="11"/>
      <c r="H34" s="11"/>
      <c r="I34" s="11">
        <f t="shared" si="1"/>
        <v>2000000</v>
      </c>
    </row>
    <row r="35" spans="1:9" x14ac:dyDescent="0.3">
      <c r="A35" s="8">
        <v>31</v>
      </c>
      <c r="B35" s="9" t="str">
        <f>'[1]24-25'!B1260</f>
        <v>Sholik 9</v>
      </c>
      <c r="C35" s="10">
        <v>19500000</v>
      </c>
      <c r="D35" s="11">
        <f t="shared" si="0"/>
        <v>585000</v>
      </c>
      <c r="E35" s="11"/>
      <c r="F35" s="11"/>
      <c r="G35" s="11">
        <v>585000</v>
      </c>
      <c r="H35" s="11"/>
      <c r="I35" s="11">
        <f t="shared" si="1"/>
        <v>20085000</v>
      </c>
    </row>
    <row r="36" spans="1:9" x14ac:dyDescent="0.3">
      <c r="A36" s="8">
        <v>32</v>
      </c>
      <c r="B36" s="9" t="str">
        <f>'[1]24-25'!B1261</f>
        <v>Siono</v>
      </c>
      <c r="C36" s="10">
        <f>'[1]24-25'!E1261</f>
        <v>6000000</v>
      </c>
      <c r="D36" s="11">
        <f t="shared" si="0"/>
        <v>180000</v>
      </c>
      <c r="E36" s="11"/>
      <c r="F36" s="11"/>
      <c r="G36" s="11">
        <v>180000</v>
      </c>
      <c r="H36" s="11"/>
      <c r="I36" s="11">
        <f t="shared" si="1"/>
        <v>6180000</v>
      </c>
    </row>
    <row r="37" spans="1:9" x14ac:dyDescent="0.3">
      <c r="A37" s="8">
        <v>33</v>
      </c>
      <c r="B37" s="9" t="str">
        <f>'[1]24-25'!B1262</f>
        <v>Sumadi</v>
      </c>
      <c r="C37" s="10">
        <f>'[1]24-25'!E1262</f>
        <v>5500000</v>
      </c>
      <c r="D37" s="11">
        <f t="shared" si="0"/>
        <v>165000</v>
      </c>
      <c r="E37" s="11"/>
      <c r="F37" s="11"/>
      <c r="G37" s="11"/>
      <c r="H37" s="11"/>
      <c r="I37" s="11">
        <f t="shared" si="1"/>
        <v>5500000</v>
      </c>
    </row>
    <row r="38" spans="1:9" x14ac:dyDescent="0.3">
      <c r="A38" s="8">
        <v>34</v>
      </c>
      <c r="B38" s="9" t="str">
        <f>'[1]24-25'!B1263</f>
        <v>Sumar</v>
      </c>
      <c r="C38" s="10">
        <f>'[1]24-25'!E1263</f>
        <v>4000000</v>
      </c>
      <c r="D38" s="11">
        <f t="shared" si="0"/>
        <v>120000</v>
      </c>
      <c r="E38" s="11"/>
      <c r="F38" s="11"/>
      <c r="G38" s="11"/>
      <c r="H38" s="11"/>
      <c r="I38" s="11">
        <f t="shared" si="1"/>
        <v>4000000</v>
      </c>
    </row>
    <row r="39" spans="1:9" x14ac:dyDescent="0.3">
      <c r="A39" s="8">
        <v>35</v>
      </c>
      <c r="B39" s="9" t="str">
        <f>'[1]24-25'!B1264</f>
        <v>Sunamah</v>
      </c>
      <c r="C39" s="10">
        <f>'[1]24-25'!E1264</f>
        <v>5500000</v>
      </c>
      <c r="D39" s="11">
        <f t="shared" si="0"/>
        <v>165000</v>
      </c>
      <c r="E39" s="11"/>
      <c r="F39" s="11"/>
      <c r="G39" s="11"/>
      <c r="H39" s="11"/>
      <c r="I39" s="11">
        <f t="shared" si="1"/>
        <v>5500000</v>
      </c>
    </row>
    <row r="40" spans="1:9" x14ac:dyDescent="0.3">
      <c r="A40" s="8">
        <v>36</v>
      </c>
      <c r="B40" s="9" t="str">
        <f>'[1]24-25'!B1265</f>
        <v>Supiani</v>
      </c>
      <c r="C40" s="10">
        <f>'[1]24-25'!E1265</f>
        <v>2000000</v>
      </c>
      <c r="D40" s="11">
        <f t="shared" si="0"/>
        <v>60000</v>
      </c>
      <c r="E40" s="11"/>
      <c r="F40" s="11"/>
      <c r="G40" s="11"/>
      <c r="H40" s="11"/>
      <c r="I40" s="11">
        <f t="shared" si="1"/>
        <v>2000000</v>
      </c>
    </row>
    <row r="41" spans="1:9" x14ac:dyDescent="0.3">
      <c r="A41" s="8">
        <v>37</v>
      </c>
      <c r="B41" s="9" t="str">
        <f>'[1]24-25'!B1266</f>
        <v>Supriaji</v>
      </c>
      <c r="C41" s="10">
        <f>'[1]24-25'!E1266</f>
        <v>10000000</v>
      </c>
      <c r="D41" s="11">
        <f t="shared" si="0"/>
        <v>300000</v>
      </c>
      <c r="E41" s="11"/>
      <c r="F41" s="11"/>
      <c r="G41" s="11">
        <v>2000000</v>
      </c>
      <c r="H41" s="11"/>
      <c r="I41" s="11">
        <f t="shared" si="1"/>
        <v>12000000</v>
      </c>
    </row>
    <row r="42" spans="1:9" x14ac:dyDescent="0.3">
      <c r="A42" s="8">
        <v>38</v>
      </c>
      <c r="B42" s="9" t="str">
        <f>'[1]24-25'!B1267</f>
        <v>Suwanan/Iksan</v>
      </c>
      <c r="C42" s="10">
        <f>'[1]24-25'!E1267</f>
        <v>4000000</v>
      </c>
      <c r="D42" s="11">
        <f t="shared" si="0"/>
        <v>120000</v>
      </c>
      <c r="E42" s="11"/>
      <c r="F42" s="11"/>
      <c r="G42" s="11">
        <v>1000000</v>
      </c>
      <c r="H42" s="11"/>
      <c r="I42" s="11">
        <f t="shared" si="1"/>
        <v>5000000</v>
      </c>
    </row>
    <row r="43" spans="1:9" x14ac:dyDescent="0.3">
      <c r="A43" s="8">
        <v>39</v>
      </c>
      <c r="B43" s="9" t="str">
        <f>'[1]24-25'!B1268</f>
        <v>Suwari</v>
      </c>
      <c r="C43" s="10">
        <f>'[1]24-25'!E1268</f>
        <v>1000000</v>
      </c>
      <c r="D43" s="11">
        <f t="shared" si="0"/>
        <v>30000</v>
      </c>
      <c r="E43" s="11"/>
      <c r="F43" s="11"/>
      <c r="G43" s="11">
        <v>30000</v>
      </c>
      <c r="H43" s="11"/>
      <c r="I43" s="11">
        <f t="shared" si="1"/>
        <v>1030000</v>
      </c>
    </row>
    <row r="44" spans="1:9" x14ac:dyDescent="0.3">
      <c r="A44" s="8">
        <v>40</v>
      </c>
      <c r="B44" s="9" t="str">
        <f>'[1]24-25'!B1269</f>
        <v>Suyono 2</v>
      </c>
      <c r="C44" s="10">
        <f>'[1]24-25'!E1269</f>
        <v>8500000</v>
      </c>
      <c r="D44" s="11">
        <f t="shared" si="0"/>
        <v>255000</v>
      </c>
      <c r="E44" s="11"/>
      <c r="F44" s="11"/>
      <c r="G44" s="11"/>
      <c r="H44" s="11"/>
      <c r="I44" s="11">
        <f t="shared" si="1"/>
        <v>8500000</v>
      </c>
    </row>
    <row r="45" spans="1:9" x14ac:dyDescent="0.3">
      <c r="A45" s="8">
        <v>41</v>
      </c>
      <c r="B45" s="9" t="str">
        <f>'[1]24-25'!B1270</f>
        <v>Tisno</v>
      </c>
      <c r="C45" s="10">
        <f>'[1]24-25'!E1270</f>
        <v>2000000</v>
      </c>
      <c r="D45" s="11">
        <f t="shared" si="0"/>
        <v>60000</v>
      </c>
      <c r="E45" s="11"/>
      <c r="F45" s="11"/>
      <c r="G45" s="11"/>
      <c r="H45" s="11"/>
      <c r="I45" s="11">
        <f t="shared" si="1"/>
        <v>2000000</v>
      </c>
    </row>
    <row r="46" spans="1:9" x14ac:dyDescent="0.3">
      <c r="A46" s="8">
        <v>42</v>
      </c>
      <c r="B46" s="9" t="str">
        <f>'[1]24-25'!B1271</f>
        <v>Umi Kulsum</v>
      </c>
      <c r="C46" s="10">
        <f>'[1]24-25'!E1271</f>
        <v>4000000</v>
      </c>
      <c r="D46" s="11">
        <f t="shared" si="0"/>
        <v>120000</v>
      </c>
      <c r="E46" s="11"/>
      <c r="F46" s="11"/>
      <c r="G46" s="11"/>
      <c r="H46" s="11"/>
      <c r="I46" s="11">
        <f t="shared" si="1"/>
        <v>4000000</v>
      </c>
    </row>
    <row r="47" spans="1:9" x14ac:dyDescent="0.3">
      <c r="A47" s="8">
        <v>43</v>
      </c>
      <c r="B47" s="9" t="str">
        <f>'[1]24-25'!B1272</f>
        <v>Rofiq</v>
      </c>
      <c r="C47" s="10">
        <f>'[1]24-25'!E1272</f>
        <v>1500000</v>
      </c>
      <c r="D47" s="11">
        <f t="shared" si="0"/>
        <v>45000</v>
      </c>
      <c r="E47" s="11"/>
      <c r="F47" s="11"/>
      <c r="G47" s="11"/>
      <c r="H47" s="11"/>
      <c r="I47" s="11">
        <f t="shared" si="1"/>
        <v>1500000</v>
      </c>
    </row>
    <row r="48" spans="1:9" x14ac:dyDescent="0.3">
      <c r="A48" s="8">
        <v>44</v>
      </c>
      <c r="B48" s="9" t="str">
        <f>'[1]24-25'!B1274</f>
        <v>Zumaroh</v>
      </c>
      <c r="C48" s="10">
        <f>'[1]24-25'!E1274</f>
        <v>3000000</v>
      </c>
      <c r="D48" s="11">
        <f t="shared" si="0"/>
        <v>90000</v>
      </c>
      <c r="E48" s="11"/>
      <c r="F48" s="11"/>
      <c r="G48" s="11"/>
      <c r="H48" s="11"/>
      <c r="I48" s="11">
        <f t="shared" si="1"/>
        <v>3000000</v>
      </c>
    </row>
    <row r="49" spans="1:9" x14ac:dyDescent="0.3">
      <c r="A49" s="8">
        <v>45</v>
      </c>
      <c r="B49" s="9" t="str">
        <f>'[1]24-25'!B1275</f>
        <v>Ning Husniah</v>
      </c>
      <c r="C49" s="10">
        <f>'[1]24-25'!E1275</f>
        <v>1000000</v>
      </c>
      <c r="D49" s="11">
        <f t="shared" si="0"/>
        <v>30000</v>
      </c>
      <c r="E49" s="11"/>
      <c r="F49" s="11"/>
      <c r="G49" s="11"/>
      <c r="H49" s="11"/>
      <c r="I49" s="11">
        <f t="shared" si="1"/>
        <v>1000000</v>
      </c>
    </row>
    <row r="50" spans="1:9" x14ac:dyDescent="0.3">
      <c r="A50" s="8">
        <v>46</v>
      </c>
      <c r="B50" s="9" t="str">
        <f>'[1]24-25'!B1276</f>
        <v>Lu'luur R</v>
      </c>
      <c r="C50" s="10">
        <f>'[1]24-25'!E1276</f>
        <v>7000000</v>
      </c>
      <c r="D50" s="11">
        <f t="shared" si="0"/>
        <v>210000</v>
      </c>
      <c r="E50" s="11"/>
      <c r="F50" s="11"/>
      <c r="G50" s="11"/>
      <c r="H50" s="11"/>
      <c r="I50" s="11">
        <f t="shared" si="1"/>
        <v>7000000</v>
      </c>
    </row>
    <row r="51" spans="1:9" x14ac:dyDescent="0.3">
      <c r="A51" s="8">
        <v>47</v>
      </c>
      <c r="B51" s="9" t="str">
        <f>'[1]24-25'!B1277</f>
        <v>Umar</v>
      </c>
      <c r="C51" s="10">
        <f>'[1]24-25'!E1277</f>
        <v>1500000</v>
      </c>
      <c r="D51" s="11">
        <f t="shared" si="0"/>
        <v>45000</v>
      </c>
      <c r="E51" s="11"/>
      <c r="F51" s="11"/>
      <c r="G51" s="11"/>
      <c r="H51" s="11"/>
      <c r="I51" s="11">
        <f t="shared" si="1"/>
        <v>1500000</v>
      </c>
    </row>
    <row r="52" spans="1:9" x14ac:dyDescent="0.3">
      <c r="A52" s="8">
        <v>48</v>
      </c>
      <c r="B52" s="9" t="str">
        <f>'[1]24-25'!B1278</f>
        <v>Ana/Bu Khoiri</v>
      </c>
      <c r="C52" s="10">
        <f>'[1]24-25'!E1278</f>
        <v>1000000</v>
      </c>
      <c r="D52" s="11">
        <f t="shared" si="0"/>
        <v>30000</v>
      </c>
      <c r="E52" s="11"/>
      <c r="F52" s="11"/>
      <c r="G52" s="11">
        <v>30000</v>
      </c>
      <c r="H52" s="11"/>
      <c r="I52" s="11">
        <f t="shared" si="1"/>
        <v>1030000</v>
      </c>
    </row>
    <row r="53" spans="1:9" x14ac:dyDescent="0.3">
      <c r="A53" s="8">
        <v>49</v>
      </c>
      <c r="B53" s="9" t="str">
        <f>'[1]24-25'!B1279</f>
        <v>Anik Mahsunah W</v>
      </c>
      <c r="C53" s="10">
        <f>'[1]24-25'!E1279</f>
        <v>0</v>
      </c>
      <c r="D53" s="11">
        <f t="shared" si="0"/>
        <v>0</v>
      </c>
      <c r="E53" s="11"/>
      <c r="F53" s="11"/>
      <c r="G53" s="11"/>
      <c r="H53" s="11"/>
      <c r="I53" s="11">
        <f t="shared" si="1"/>
        <v>0</v>
      </c>
    </row>
    <row r="54" spans="1:9" x14ac:dyDescent="0.3">
      <c r="A54" s="8">
        <v>50</v>
      </c>
      <c r="B54" s="9" t="str">
        <f>'[1]24-25'!B1280</f>
        <v>Fajrul Ummah</v>
      </c>
      <c r="C54" s="10">
        <f>'[1]24-25'!E1280</f>
        <v>16500000</v>
      </c>
      <c r="D54" s="11">
        <f t="shared" si="0"/>
        <v>495000</v>
      </c>
      <c r="E54" s="11"/>
      <c r="F54" s="11"/>
      <c r="G54" s="11">
        <v>495000</v>
      </c>
      <c r="H54" s="11"/>
      <c r="I54" s="11">
        <f t="shared" si="1"/>
        <v>16995000</v>
      </c>
    </row>
    <row r="55" spans="1:9" x14ac:dyDescent="0.3">
      <c r="A55" s="8">
        <v>51</v>
      </c>
      <c r="B55" s="9" t="str">
        <f>'[1]24-25'!B1281</f>
        <v>Imam Masrodin</v>
      </c>
      <c r="C55" s="10">
        <f>'[1]24-25'!E1281</f>
        <v>500000</v>
      </c>
      <c r="D55" s="11">
        <f t="shared" si="0"/>
        <v>15000</v>
      </c>
      <c r="E55" s="11"/>
      <c r="F55" s="11"/>
      <c r="G55" s="11"/>
      <c r="H55" s="11"/>
      <c r="I55" s="11">
        <f t="shared" si="1"/>
        <v>500000</v>
      </c>
    </row>
    <row r="56" spans="1:9" x14ac:dyDescent="0.3">
      <c r="A56" s="8">
        <v>52</v>
      </c>
      <c r="B56" s="9" t="str">
        <f>'[1]24-25'!B1282</f>
        <v>Muayanah</v>
      </c>
      <c r="C56" s="10">
        <f>'[1]24-25'!E1282</f>
        <v>7300000</v>
      </c>
      <c r="D56" s="11">
        <f t="shared" si="0"/>
        <v>219000</v>
      </c>
      <c r="E56" s="11"/>
      <c r="F56" s="11"/>
      <c r="G56" s="11">
        <v>1000000</v>
      </c>
      <c r="H56" s="11"/>
      <c r="I56" s="11">
        <f t="shared" si="1"/>
        <v>8300000</v>
      </c>
    </row>
    <row r="57" spans="1:9" x14ac:dyDescent="0.3">
      <c r="A57" s="8">
        <v>53</v>
      </c>
      <c r="B57" s="9" t="str">
        <f>'[1]24-25'!B1283</f>
        <v>Siswanto</v>
      </c>
      <c r="C57" s="10">
        <f>'[1]24-25'!E1283</f>
        <v>2500000</v>
      </c>
      <c r="D57" s="11">
        <f t="shared" si="0"/>
        <v>75000</v>
      </c>
      <c r="E57" s="11"/>
      <c r="F57" s="11"/>
      <c r="G57" s="11">
        <v>500000</v>
      </c>
      <c r="H57" s="11"/>
      <c r="I57" s="11">
        <f t="shared" si="1"/>
        <v>3000000</v>
      </c>
    </row>
    <row r="58" spans="1:9" x14ac:dyDescent="0.3">
      <c r="A58" s="8">
        <v>54</v>
      </c>
      <c r="B58" s="9" t="str">
        <f>'[1]24-25'!B1284</f>
        <v>Bin Asiyah</v>
      </c>
      <c r="C58" s="10">
        <f>'[1]24-25'!E1284</f>
        <v>6000000</v>
      </c>
      <c r="D58" s="11">
        <f t="shared" si="0"/>
        <v>180000</v>
      </c>
      <c r="E58" s="11"/>
      <c r="F58" s="11"/>
      <c r="G58" s="11"/>
      <c r="H58" s="11"/>
      <c r="I58" s="11">
        <f t="shared" si="1"/>
        <v>6000000</v>
      </c>
    </row>
    <row r="59" spans="1:9" x14ac:dyDescent="0.3">
      <c r="A59" s="8">
        <v>55</v>
      </c>
      <c r="B59" s="9" t="str">
        <f>'[1]24-25'!B1285</f>
        <v>Tayem</v>
      </c>
      <c r="C59" s="10">
        <f>'[1]24-25'!E1285</f>
        <v>14500000</v>
      </c>
      <c r="D59" s="11">
        <f t="shared" si="0"/>
        <v>435000</v>
      </c>
      <c r="E59" s="11"/>
      <c r="F59" s="11"/>
      <c r="G59" s="11"/>
      <c r="H59" s="11"/>
      <c r="I59" s="11">
        <f t="shared" si="1"/>
        <v>14500000</v>
      </c>
    </row>
    <row r="60" spans="1:9" x14ac:dyDescent="0.3">
      <c r="A60" s="8">
        <v>56</v>
      </c>
      <c r="B60" s="9" t="str">
        <f>'[1]24-25'!B1286</f>
        <v>Sholahuddin Afif</v>
      </c>
      <c r="C60" s="10">
        <f>'[1]24-25'!E1286</f>
        <v>13000000</v>
      </c>
      <c r="D60" s="11">
        <f t="shared" si="0"/>
        <v>390000</v>
      </c>
      <c r="E60" s="11"/>
      <c r="F60" s="11"/>
      <c r="G60" s="11"/>
      <c r="H60" s="11"/>
      <c r="I60" s="11">
        <f t="shared" si="1"/>
        <v>13000000</v>
      </c>
    </row>
    <row r="61" spans="1:9" x14ac:dyDescent="0.3">
      <c r="A61" s="8">
        <v>57</v>
      </c>
      <c r="B61" s="9" t="str">
        <f>'[1]24-25'!B1287</f>
        <v>Masithah</v>
      </c>
      <c r="C61" s="10">
        <f>'[1]24-25'!E1287</f>
        <v>1000000</v>
      </c>
      <c r="D61" s="11">
        <f t="shared" si="0"/>
        <v>30000</v>
      </c>
      <c r="E61" s="11"/>
      <c r="F61" s="11"/>
      <c r="G61" s="11"/>
      <c r="H61" s="11"/>
      <c r="I61" s="11">
        <f t="shared" si="1"/>
        <v>1000000</v>
      </c>
    </row>
    <row r="62" spans="1:9" x14ac:dyDescent="0.3">
      <c r="A62" s="8">
        <v>58</v>
      </c>
      <c r="B62" s="9" t="str">
        <f>'[1]24-25'!B1288</f>
        <v>Rikayati</v>
      </c>
      <c r="C62" s="10">
        <v>2000000</v>
      </c>
      <c r="D62" s="11">
        <f t="shared" si="0"/>
        <v>60000</v>
      </c>
      <c r="E62" s="11"/>
      <c r="F62" s="11"/>
      <c r="G62" s="11"/>
      <c r="H62" s="11"/>
      <c r="I62" s="11">
        <f t="shared" si="1"/>
        <v>2000000</v>
      </c>
    </row>
    <row r="63" spans="1:9" x14ac:dyDescent="0.3">
      <c r="A63" s="8">
        <v>59</v>
      </c>
      <c r="B63" s="9" t="str">
        <f>'[1]24-25'!B1289</f>
        <v>Misbahuddin</v>
      </c>
      <c r="C63" s="10">
        <v>2000000</v>
      </c>
      <c r="D63" s="11">
        <f t="shared" si="0"/>
        <v>60000</v>
      </c>
      <c r="E63" s="11"/>
      <c r="F63" s="11"/>
      <c r="G63" s="11"/>
      <c r="H63" s="11"/>
      <c r="I63" s="11">
        <f t="shared" si="1"/>
        <v>2000000</v>
      </c>
    </row>
    <row r="64" spans="1:9" x14ac:dyDescent="0.3">
      <c r="A64" s="8">
        <v>60</v>
      </c>
      <c r="B64" s="9" t="str">
        <f>'[1]24-25'!B1290</f>
        <v>Munisah</v>
      </c>
      <c r="C64" s="10">
        <f>'[1]24-25'!E1290</f>
        <v>500000</v>
      </c>
      <c r="D64" s="11">
        <f t="shared" si="0"/>
        <v>15000</v>
      </c>
      <c r="E64" s="11"/>
      <c r="F64" s="11"/>
      <c r="G64" s="11"/>
      <c r="H64" s="11"/>
      <c r="I64" s="11">
        <f t="shared" si="1"/>
        <v>500000</v>
      </c>
    </row>
    <row r="65" spans="1:9" x14ac:dyDescent="0.3">
      <c r="A65" s="8">
        <v>61</v>
      </c>
      <c r="B65" s="9"/>
      <c r="C65" s="10"/>
      <c r="D65" s="11"/>
      <c r="E65" s="11"/>
      <c r="F65" s="11"/>
      <c r="G65" s="11"/>
      <c r="H65" s="11"/>
      <c r="I65" s="11"/>
    </row>
    <row r="66" spans="1:9" x14ac:dyDescent="0.3">
      <c r="A66" s="8">
        <v>62</v>
      </c>
      <c r="B66" s="9"/>
      <c r="C66" s="10"/>
      <c r="D66" s="11"/>
      <c r="E66" s="11"/>
      <c r="F66" s="11"/>
      <c r="G66" s="11"/>
      <c r="H66" s="11"/>
      <c r="I66" s="11"/>
    </row>
    <row r="67" spans="1:9" x14ac:dyDescent="0.3">
      <c r="A67" s="8">
        <v>63</v>
      </c>
      <c r="B67" s="9"/>
      <c r="C67" s="10"/>
      <c r="D67" s="11"/>
      <c r="E67" s="11"/>
      <c r="F67" s="11"/>
      <c r="G67" s="11"/>
      <c r="H67" s="11"/>
      <c r="I67" s="11"/>
    </row>
    <row r="68" spans="1:9" x14ac:dyDescent="0.3">
      <c r="A68" s="8">
        <v>64</v>
      </c>
      <c r="B68" s="9"/>
      <c r="C68" s="10"/>
      <c r="D68" s="11"/>
      <c r="E68" s="11"/>
      <c r="F68" s="11"/>
      <c r="G68" s="11"/>
      <c r="H68" s="11"/>
      <c r="I68" s="11"/>
    </row>
    <row r="69" spans="1:9" x14ac:dyDescent="0.3">
      <c r="A69" s="8">
        <v>65</v>
      </c>
      <c r="B69" s="9">
        <f>'[1]24-25'!B1291</f>
        <v>0</v>
      </c>
      <c r="C69" s="10"/>
      <c r="D69" s="11"/>
      <c r="E69" s="11"/>
      <c r="F69" s="11"/>
      <c r="G69" s="11"/>
      <c r="H69" s="11"/>
      <c r="I69" s="11">
        <f>D69+G69</f>
        <v>0</v>
      </c>
    </row>
    <row r="70" spans="1:9" ht="17.25" thickBot="1" x14ac:dyDescent="0.35">
      <c r="A70" s="12" t="s">
        <v>13</v>
      </c>
      <c r="B70" s="13"/>
      <c r="C70" s="14">
        <f>SUM(C5:C69)</f>
        <v>273800000</v>
      </c>
      <c r="D70" s="15">
        <f>SUM(D5:D69)</f>
        <v>8214000</v>
      </c>
      <c r="E70" s="15">
        <f>SUM(E5:E69)</f>
        <v>0</v>
      </c>
      <c r="F70" s="15">
        <f>SUM(F5:F69)</f>
        <v>0</v>
      </c>
      <c r="G70" s="16">
        <f>SUM(G8:G69)</f>
        <v>7725000</v>
      </c>
      <c r="H70" s="16">
        <f>SUM(H5:H69)</f>
        <v>60000</v>
      </c>
      <c r="I70" s="17">
        <f>SUM(I5:I69)</f>
        <v>281465000</v>
      </c>
    </row>
    <row r="71" spans="1:9" x14ac:dyDescent="0.3">
      <c r="A71" s="18"/>
      <c r="B71" s="18"/>
      <c r="C71" s="19"/>
      <c r="D71" s="19"/>
      <c r="E71" s="19"/>
      <c r="F71" s="19"/>
      <c r="G71" s="19"/>
      <c r="H71" s="19"/>
      <c r="I71" s="19"/>
    </row>
    <row r="72" spans="1:9" x14ac:dyDescent="0.3">
      <c r="A72" s="3"/>
      <c r="B72" s="3"/>
      <c r="C72" s="3"/>
      <c r="D72" s="3"/>
      <c r="E72" s="3"/>
      <c r="F72" s="3"/>
      <c r="G72" s="3"/>
      <c r="H72" s="3" t="s">
        <v>14</v>
      </c>
    </row>
    <row r="73" spans="1:9" x14ac:dyDescent="0.3">
      <c r="A73" s="3"/>
      <c r="B73" s="3"/>
      <c r="C73" s="3"/>
      <c r="D73" s="3"/>
      <c r="E73" s="3"/>
      <c r="F73" s="3"/>
      <c r="G73" s="3"/>
      <c r="H73" s="3"/>
    </row>
    <row r="74" spans="1:9" x14ac:dyDescent="0.3">
      <c r="A74" s="3"/>
      <c r="B74" s="3"/>
      <c r="C74" s="3"/>
      <c r="D74" s="3"/>
      <c r="E74" s="3"/>
      <c r="F74" s="3"/>
      <c r="G74" s="3"/>
      <c r="H74" s="3"/>
    </row>
    <row r="75" spans="1:9" x14ac:dyDescent="0.3">
      <c r="A75" s="3"/>
      <c r="B75" s="3"/>
      <c r="C75" s="3"/>
      <c r="D75" s="3"/>
      <c r="E75" s="3"/>
      <c r="F75" s="3"/>
      <c r="G75" s="3"/>
      <c r="H75" s="3"/>
    </row>
    <row r="76" spans="1:9" x14ac:dyDescent="0.3">
      <c r="A76" s="3"/>
      <c r="B76" s="3"/>
      <c r="C76" s="3"/>
      <c r="D76" s="3"/>
      <c r="E76" s="3"/>
      <c r="F76" s="3"/>
      <c r="G76" s="3"/>
      <c r="H76" s="20" t="s">
        <v>15</v>
      </c>
    </row>
    <row r="77" spans="1:9" x14ac:dyDescent="0.3">
      <c r="A77" s="3"/>
      <c r="B77" s="3"/>
      <c r="C77" s="3"/>
      <c r="D77" s="3"/>
      <c r="E77" s="3"/>
      <c r="F77" s="3"/>
      <c r="G77" s="3"/>
      <c r="H77" s="3"/>
    </row>
    <row r="78" spans="1:9" x14ac:dyDescent="0.3">
      <c r="A78" s="3"/>
      <c r="B78" s="3"/>
      <c r="C78" s="3"/>
      <c r="D78" s="3"/>
      <c r="E78" s="3"/>
      <c r="F78" s="3"/>
      <c r="G78" s="3"/>
      <c r="H78" s="3"/>
    </row>
    <row r="79" spans="1:9" x14ac:dyDescent="0.3">
      <c r="A79" s="3"/>
      <c r="B79" s="3"/>
      <c r="C79" s="3"/>
      <c r="D79" s="3"/>
      <c r="E79" s="3"/>
      <c r="F79" s="3"/>
      <c r="G79" s="3"/>
      <c r="H79" s="3"/>
    </row>
    <row r="80" spans="1:9" x14ac:dyDescent="0.3">
      <c r="A80" s="3"/>
      <c r="B80" s="3"/>
      <c r="C80" s="3"/>
      <c r="D80" s="3"/>
      <c r="E80" s="3"/>
      <c r="F80" s="3"/>
      <c r="G80" s="3"/>
      <c r="H80" s="3"/>
    </row>
    <row r="81" spans="1:8" x14ac:dyDescent="0.3">
      <c r="A81" s="3"/>
      <c r="B81" s="3"/>
      <c r="C81" s="3"/>
      <c r="D81" s="3"/>
      <c r="E81" s="3"/>
      <c r="F81" s="3"/>
      <c r="G81" s="3"/>
      <c r="H81" s="3"/>
    </row>
    <row r="82" spans="1:8" x14ac:dyDescent="0.3">
      <c r="A82" s="3"/>
      <c r="B82" s="3"/>
      <c r="C82" s="3"/>
      <c r="D82" s="3"/>
      <c r="E82" s="3"/>
      <c r="F82" s="3"/>
      <c r="G82" s="3"/>
      <c r="H82" s="3"/>
    </row>
    <row r="83" spans="1:8" x14ac:dyDescent="0.3">
      <c r="A83" s="3"/>
      <c r="B83" s="3"/>
      <c r="C83" s="3"/>
      <c r="D83" s="3"/>
      <c r="E83" s="3"/>
      <c r="F83" s="3"/>
      <c r="G83" s="3"/>
      <c r="H83" s="3"/>
    </row>
    <row r="84" spans="1:8" x14ac:dyDescent="0.3">
      <c r="A84" s="3"/>
      <c r="B84" s="3"/>
      <c r="C84" s="3"/>
      <c r="D84" s="3"/>
      <c r="E84" s="3"/>
      <c r="F84" s="3"/>
      <c r="G84" s="3"/>
      <c r="H84" s="3"/>
    </row>
    <row r="85" spans="1:8" x14ac:dyDescent="0.3">
      <c r="A85" s="3"/>
      <c r="B85" s="3"/>
      <c r="C85" s="3"/>
      <c r="D85" s="3"/>
      <c r="E85" s="3"/>
      <c r="F85" s="3"/>
      <c r="G85" s="3"/>
      <c r="H85" s="3"/>
    </row>
    <row r="86" spans="1:8" x14ac:dyDescent="0.3">
      <c r="A86" s="3"/>
      <c r="B86" s="3"/>
      <c r="C86" s="3"/>
      <c r="D86" s="3"/>
      <c r="E86" s="3"/>
      <c r="F86" s="3"/>
      <c r="G86" s="3"/>
      <c r="H86" s="3"/>
    </row>
    <row r="87" spans="1:8" x14ac:dyDescent="0.3">
      <c r="A87" s="3"/>
      <c r="B87" s="3"/>
      <c r="C87" s="3"/>
      <c r="D87" s="3"/>
      <c r="E87" s="3"/>
      <c r="F87" s="3"/>
      <c r="G87" s="3"/>
      <c r="H87" s="3"/>
    </row>
    <row r="88" spans="1:8" x14ac:dyDescent="0.3">
      <c r="A88" s="3"/>
      <c r="B88" s="3"/>
      <c r="C88" s="3"/>
      <c r="D88" s="3"/>
      <c r="E88" s="3"/>
      <c r="F88" s="3"/>
      <c r="G88" s="3"/>
      <c r="H88" s="3"/>
    </row>
    <row r="89" spans="1:8" x14ac:dyDescent="0.3">
      <c r="A89" s="3"/>
      <c r="B89" s="3"/>
      <c r="C89" s="3"/>
      <c r="D89" s="3"/>
      <c r="E89" s="3"/>
      <c r="F89" s="3"/>
      <c r="G89" s="3"/>
      <c r="H89" s="3"/>
    </row>
    <row r="90" spans="1:8" x14ac:dyDescent="0.3">
      <c r="A90" s="3"/>
      <c r="B90" s="3"/>
      <c r="C90" s="3"/>
      <c r="D90" s="3"/>
      <c r="E90" s="3"/>
      <c r="F90" s="3"/>
      <c r="G90" s="3"/>
      <c r="H90" s="3"/>
    </row>
    <row r="91" spans="1:8" x14ac:dyDescent="0.3">
      <c r="A91" s="3"/>
      <c r="B91" s="3"/>
      <c r="C91" s="3"/>
      <c r="D91" s="3"/>
      <c r="E91" s="3"/>
      <c r="F91" s="3"/>
      <c r="G91" s="3"/>
      <c r="H91" s="3"/>
    </row>
    <row r="92" spans="1:8" x14ac:dyDescent="0.3">
      <c r="A92" s="3"/>
      <c r="B92" s="3"/>
      <c r="C92" s="3"/>
      <c r="D92" s="3"/>
      <c r="E92" s="3"/>
      <c r="F92" s="3"/>
      <c r="G92" s="3"/>
      <c r="H92" s="3"/>
    </row>
    <row r="93" spans="1:8" x14ac:dyDescent="0.3">
      <c r="A93" s="3"/>
      <c r="B93" s="3"/>
      <c r="C93" s="3"/>
      <c r="D93" s="3"/>
      <c r="E93" s="3"/>
      <c r="F93" s="3"/>
      <c r="G93" s="3"/>
      <c r="H93" s="3"/>
    </row>
    <row r="94" spans="1:8" x14ac:dyDescent="0.3">
      <c r="A94" s="3"/>
      <c r="B94" s="3"/>
      <c r="C94" s="3"/>
      <c r="D94" s="3"/>
      <c r="E94" s="3"/>
      <c r="F94" s="3"/>
      <c r="G94" s="3"/>
      <c r="H94" s="3"/>
    </row>
    <row r="95" spans="1:8" x14ac:dyDescent="0.3">
      <c r="A95" s="3"/>
      <c r="B95" s="3"/>
      <c r="C95" s="3"/>
      <c r="D95" s="3"/>
      <c r="E95" s="3"/>
      <c r="F95" s="3"/>
      <c r="G95" s="3"/>
      <c r="H95" s="3"/>
    </row>
    <row r="96" spans="1:8" x14ac:dyDescent="0.3">
      <c r="A96" s="3"/>
      <c r="B96" s="3"/>
      <c r="C96" s="3"/>
      <c r="D96" s="3"/>
      <c r="E96" s="3"/>
      <c r="F96" s="3"/>
      <c r="G96" s="3"/>
      <c r="H96" s="3"/>
    </row>
    <row r="97" spans="1:8" x14ac:dyDescent="0.3">
      <c r="A97" s="3"/>
      <c r="B97" s="3"/>
      <c r="C97" s="3"/>
      <c r="D97" s="3"/>
      <c r="E97" s="3"/>
      <c r="F97" s="3"/>
      <c r="G97" s="3"/>
      <c r="H97" s="3"/>
    </row>
    <row r="98" spans="1:8" x14ac:dyDescent="0.3">
      <c r="A98" s="3"/>
      <c r="B98" s="3"/>
      <c r="C98" s="3"/>
      <c r="D98" s="3"/>
      <c r="E98" s="3"/>
      <c r="F98" s="3"/>
      <c r="G98" s="3"/>
      <c r="H98" s="3"/>
    </row>
    <row r="99" spans="1:8" x14ac:dyDescent="0.3">
      <c r="A99" s="3"/>
      <c r="B99" s="3"/>
      <c r="C99" s="3"/>
      <c r="D99" s="3"/>
      <c r="E99" s="3"/>
      <c r="F99" s="3"/>
      <c r="G99" s="3"/>
      <c r="H99" s="3"/>
    </row>
    <row r="100" spans="1:8" x14ac:dyDescent="0.3">
      <c r="A100" s="3"/>
      <c r="B100" s="3"/>
      <c r="C100" s="3"/>
      <c r="D100" s="3"/>
      <c r="E100" s="3"/>
      <c r="F100" s="3"/>
      <c r="G100" s="3"/>
      <c r="H100" s="3"/>
    </row>
    <row r="101" spans="1:8" x14ac:dyDescent="0.3">
      <c r="A101" s="3"/>
      <c r="B101" s="3"/>
      <c r="C101" s="3"/>
      <c r="D101" s="3"/>
      <c r="E101" s="3"/>
      <c r="F101" s="3"/>
      <c r="G101" s="3"/>
      <c r="H101" s="3"/>
    </row>
    <row r="102" spans="1:8" x14ac:dyDescent="0.3">
      <c r="A102" s="3"/>
      <c r="B102" s="3"/>
      <c r="C102" s="3"/>
      <c r="D102" s="3"/>
      <c r="E102" s="3"/>
      <c r="F102" s="3"/>
      <c r="G102" s="3"/>
      <c r="H102" s="3"/>
    </row>
    <row r="103" spans="1:8" x14ac:dyDescent="0.3">
      <c r="A103" s="3"/>
      <c r="B103" s="3"/>
      <c r="C103" s="3"/>
      <c r="D103" s="3"/>
      <c r="E103" s="3"/>
      <c r="F103" s="3"/>
      <c r="G103" s="3"/>
      <c r="H103" s="3"/>
    </row>
    <row r="104" spans="1:8" x14ac:dyDescent="0.3">
      <c r="A104" s="3"/>
      <c r="B104" s="3"/>
      <c r="C104" s="3"/>
      <c r="D104" s="3"/>
      <c r="E104" s="3"/>
      <c r="F104" s="3"/>
      <c r="G104" s="3"/>
      <c r="H104" s="3"/>
    </row>
    <row r="105" spans="1:8" x14ac:dyDescent="0.3">
      <c r="A105" s="3"/>
      <c r="B105" s="3"/>
      <c r="C105" s="3"/>
      <c r="D105" s="3"/>
      <c r="E105" s="3"/>
      <c r="F105" s="3"/>
      <c r="G105" s="3"/>
      <c r="H105" s="3"/>
    </row>
    <row r="106" spans="1:8" x14ac:dyDescent="0.3">
      <c r="A106" s="3"/>
      <c r="B106" s="3"/>
      <c r="C106" s="3"/>
      <c r="D106" s="3"/>
      <c r="E106" s="3"/>
      <c r="F106" s="3"/>
      <c r="G106" s="3"/>
      <c r="H106" s="3"/>
    </row>
    <row r="107" spans="1:8" x14ac:dyDescent="0.3">
      <c r="A107" s="3"/>
      <c r="B107" s="3"/>
      <c r="C107" s="3"/>
      <c r="D107" s="3"/>
      <c r="E107" s="3"/>
      <c r="F107" s="3"/>
      <c r="G107" s="3"/>
      <c r="H107" s="3"/>
    </row>
    <row r="108" spans="1:8" x14ac:dyDescent="0.3">
      <c r="A108" s="3"/>
      <c r="B108" s="3"/>
      <c r="C108" s="3"/>
      <c r="D108" s="3"/>
      <c r="E108" s="3"/>
      <c r="F108" s="3"/>
      <c r="G108" s="3"/>
      <c r="H108" s="3"/>
    </row>
    <row r="109" spans="1:8" x14ac:dyDescent="0.3">
      <c r="A109" s="3"/>
      <c r="B109" s="3"/>
      <c r="C109" s="3"/>
      <c r="D109" s="3"/>
      <c r="E109" s="3"/>
      <c r="F109" s="3"/>
      <c r="G109" s="3"/>
      <c r="H109" s="3"/>
    </row>
    <row r="110" spans="1:8" x14ac:dyDescent="0.3">
      <c r="A110" s="3"/>
      <c r="B110" s="3"/>
      <c r="C110" s="3"/>
      <c r="D110" s="3"/>
      <c r="E110" s="3"/>
      <c r="F110" s="3"/>
      <c r="G110" s="3"/>
      <c r="H110" s="3"/>
    </row>
    <row r="111" spans="1:8" x14ac:dyDescent="0.3">
      <c r="A111" s="3"/>
      <c r="B111" s="3"/>
      <c r="C111" s="3"/>
      <c r="D111" s="3"/>
      <c r="E111" s="3"/>
      <c r="F111" s="3"/>
      <c r="G111" s="3"/>
      <c r="H111" s="3"/>
    </row>
    <row r="112" spans="1:8" x14ac:dyDescent="0.3">
      <c r="A112" s="3"/>
      <c r="B112" s="3"/>
      <c r="C112" s="3"/>
      <c r="D112" s="3"/>
      <c r="E112" s="3"/>
      <c r="F112" s="3"/>
      <c r="G112" s="3"/>
      <c r="H112" s="3"/>
    </row>
    <row r="113" spans="1:9" ht="20.25" x14ac:dyDescent="0.3">
      <c r="A113" s="1" t="s">
        <v>16</v>
      </c>
      <c r="B113" s="1"/>
      <c r="C113" s="1"/>
      <c r="D113" s="1"/>
      <c r="E113" s="1"/>
      <c r="F113" s="1"/>
      <c r="G113" s="1"/>
      <c r="H113" s="1"/>
      <c r="I113" s="1"/>
    </row>
    <row r="114" spans="1:9" ht="17.25" thickBot="1" x14ac:dyDescent="0.35">
      <c r="A114" s="3"/>
      <c r="B114" s="3"/>
      <c r="C114" s="3"/>
      <c r="D114" s="3"/>
      <c r="E114" s="3"/>
      <c r="F114" s="3"/>
      <c r="G114" s="3"/>
      <c r="H114" s="3"/>
    </row>
    <row r="115" spans="1:9" ht="49.5" x14ac:dyDescent="0.3">
      <c r="A115" s="21" t="s">
        <v>1</v>
      </c>
      <c r="B115" s="22" t="s">
        <v>2</v>
      </c>
      <c r="C115" s="22" t="s">
        <v>3</v>
      </c>
      <c r="D115" s="23" t="s">
        <v>4</v>
      </c>
      <c r="E115" s="23" t="s">
        <v>5</v>
      </c>
      <c r="F115" s="23" t="s">
        <v>6</v>
      </c>
      <c r="G115" s="23" t="s">
        <v>7</v>
      </c>
      <c r="H115" s="23" t="s">
        <v>8</v>
      </c>
      <c r="I115" s="24" t="s">
        <v>17</v>
      </c>
    </row>
    <row r="116" spans="1:9" x14ac:dyDescent="0.3">
      <c r="A116" s="25"/>
      <c r="B116" s="26"/>
      <c r="C116" s="26"/>
      <c r="D116" s="7">
        <v>45994</v>
      </c>
      <c r="E116" s="7">
        <f>D116</f>
        <v>45994</v>
      </c>
      <c r="F116" s="7">
        <f>E116</f>
        <v>45994</v>
      </c>
      <c r="G116" s="7">
        <f>F116</f>
        <v>45994</v>
      </c>
      <c r="H116" s="7">
        <f>G116</f>
        <v>45994</v>
      </c>
      <c r="I116" s="27">
        <f>H116</f>
        <v>45994</v>
      </c>
    </row>
    <row r="117" spans="1:9" x14ac:dyDescent="0.3">
      <c r="A117" s="28">
        <v>1</v>
      </c>
      <c r="B117" s="9" t="str">
        <f>B5</f>
        <v>Siti Rohmah</v>
      </c>
      <c r="C117" s="11">
        <f>I5</f>
        <v>13500000</v>
      </c>
      <c r="D117" s="11">
        <f>C117*3%</f>
        <v>405000</v>
      </c>
      <c r="E117" s="11"/>
      <c r="F117" s="11"/>
      <c r="G117" s="29"/>
      <c r="H117" s="11"/>
      <c r="I117" s="30">
        <f>C117+E117-F117+G117-H117</f>
        <v>13500000</v>
      </c>
    </row>
    <row r="118" spans="1:9" x14ac:dyDescent="0.3">
      <c r="A118" s="28">
        <v>2</v>
      </c>
      <c r="B118" s="9" t="str">
        <f t="shared" ref="B118:B176" si="2">B6</f>
        <v>Ali Muttaqin</v>
      </c>
      <c r="C118" s="11">
        <f t="shared" ref="C118:C176" si="3">I6</f>
        <v>4000000</v>
      </c>
      <c r="D118" s="11">
        <f t="shared" ref="D118:D176" si="4">C118*3%</f>
        <v>120000</v>
      </c>
      <c r="E118" s="11"/>
      <c r="F118" s="11"/>
      <c r="G118" s="11"/>
      <c r="H118" s="11"/>
      <c r="I118" s="30">
        <f>C118+E118-F118+G118-H118</f>
        <v>4000000</v>
      </c>
    </row>
    <row r="119" spans="1:9" x14ac:dyDescent="0.3">
      <c r="A119" s="28">
        <v>3</v>
      </c>
      <c r="B119" s="9" t="str">
        <f t="shared" si="2"/>
        <v>Amnan</v>
      </c>
      <c r="C119" s="11">
        <f t="shared" si="3"/>
        <v>7900000</v>
      </c>
      <c r="D119" s="11">
        <f t="shared" si="4"/>
        <v>237000</v>
      </c>
      <c r="E119" s="11"/>
      <c r="F119" s="11"/>
      <c r="G119" s="11"/>
      <c r="H119" s="11"/>
      <c r="I119" s="30">
        <f t="shared" ref="I119:I173" si="5">C119+E119-F119+G119-H119</f>
        <v>7900000</v>
      </c>
    </row>
    <row r="120" spans="1:9" x14ac:dyDescent="0.3">
      <c r="A120" s="28">
        <v>4</v>
      </c>
      <c r="B120" s="9" t="str">
        <f t="shared" si="2"/>
        <v>Bambang</v>
      </c>
      <c r="C120" s="11">
        <f t="shared" si="3"/>
        <v>7800000</v>
      </c>
      <c r="D120" s="11">
        <f t="shared" si="4"/>
        <v>234000</v>
      </c>
      <c r="E120" s="11"/>
      <c r="F120" s="11"/>
      <c r="G120" s="11"/>
      <c r="H120" s="11"/>
      <c r="I120" s="30">
        <f t="shared" si="5"/>
        <v>7800000</v>
      </c>
    </row>
    <row r="121" spans="1:9" x14ac:dyDescent="0.3">
      <c r="A121" s="28">
        <v>5</v>
      </c>
      <c r="B121" s="9" t="str">
        <f t="shared" si="2"/>
        <v>Erham</v>
      </c>
      <c r="C121" s="11">
        <f t="shared" si="3"/>
        <v>5300000</v>
      </c>
      <c r="D121" s="11">
        <f t="shared" si="4"/>
        <v>159000</v>
      </c>
      <c r="E121" s="11"/>
      <c r="F121" s="11"/>
      <c r="G121" s="11"/>
      <c r="H121" s="11"/>
      <c r="I121" s="30">
        <f t="shared" si="5"/>
        <v>5300000</v>
      </c>
    </row>
    <row r="122" spans="1:9" x14ac:dyDescent="0.3">
      <c r="A122" s="28">
        <v>6</v>
      </c>
      <c r="B122" s="9" t="str">
        <f t="shared" si="2"/>
        <v>Estuningati</v>
      </c>
      <c r="C122" s="11">
        <f t="shared" si="3"/>
        <v>4000000</v>
      </c>
      <c r="D122" s="11">
        <f t="shared" si="4"/>
        <v>120000</v>
      </c>
      <c r="E122" s="11"/>
      <c r="F122" s="11"/>
      <c r="G122" s="11"/>
      <c r="H122" s="11"/>
      <c r="I122" s="30">
        <f t="shared" si="5"/>
        <v>4000000</v>
      </c>
    </row>
    <row r="123" spans="1:9" x14ac:dyDescent="0.3">
      <c r="A123" s="28">
        <v>7</v>
      </c>
      <c r="B123" s="9" t="str">
        <f t="shared" si="2"/>
        <v>Faisal (Subarin)</v>
      </c>
      <c r="C123" s="11">
        <f t="shared" si="3"/>
        <v>4000000</v>
      </c>
      <c r="D123" s="11">
        <f t="shared" si="4"/>
        <v>120000</v>
      </c>
      <c r="E123" s="11"/>
      <c r="F123" s="11"/>
      <c r="G123" s="11"/>
      <c r="H123" s="11"/>
      <c r="I123" s="30">
        <f>C123-G123</f>
        <v>4000000</v>
      </c>
    </row>
    <row r="124" spans="1:9" x14ac:dyDescent="0.3">
      <c r="A124" s="28">
        <v>8</v>
      </c>
      <c r="B124" s="9" t="str">
        <f t="shared" si="2"/>
        <v>Hj. Nur Fadhilah</v>
      </c>
      <c r="C124" s="11">
        <f t="shared" si="3"/>
        <v>2000000</v>
      </c>
      <c r="D124" s="11">
        <f t="shared" si="4"/>
        <v>60000</v>
      </c>
      <c r="E124" s="11"/>
      <c r="F124" s="11"/>
      <c r="G124" s="11"/>
      <c r="H124" s="11"/>
      <c r="I124" s="30">
        <f t="shared" si="5"/>
        <v>2000000</v>
      </c>
    </row>
    <row r="125" spans="1:9" x14ac:dyDescent="0.3">
      <c r="A125" s="28">
        <v>9</v>
      </c>
      <c r="B125" s="9" t="str">
        <f t="shared" si="2"/>
        <v>Hanafi</v>
      </c>
      <c r="C125" s="11">
        <f t="shared" si="3"/>
        <v>1000000</v>
      </c>
      <c r="D125" s="11">
        <f t="shared" si="4"/>
        <v>30000</v>
      </c>
      <c r="E125" s="11"/>
      <c r="F125" s="11"/>
      <c r="G125" s="11"/>
      <c r="H125" s="11"/>
      <c r="I125" s="30">
        <f t="shared" si="5"/>
        <v>1000000</v>
      </c>
    </row>
    <row r="126" spans="1:9" x14ac:dyDescent="0.3">
      <c r="A126" s="28">
        <v>10</v>
      </c>
      <c r="B126" s="9" t="str">
        <f t="shared" si="2"/>
        <v>Hidayat</v>
      </c>
      <c r="C126" s="11">
        <f t="shared" si="3"/>
        <v>1500000</v>
      </c>
      <c r="D126" s="11">
        <f t="shared" si="4"/>
        <v>45000</v>
      </c>
      <c r="E126" s="11"/>
      <c r="F126" s="11"/>
      <c r="G126" s="11"/>
      <c r="H126" s="11"/>
      <c r="I126" s="30">
        <f t="shared" si="5"/>
        <v>1500000</v>
      </c>
    </row>
    <row r="127" spans="1:9" x14ac:dyDescent="0.3">
      <c r="A127" s="28">
        <v>11</v>
      </c>
      <c r="B127" s="9" t="str">
        <f t="shared" si="2"/>
        <v>Ika Tartila</v>
      </c>
      <c r="C127" s="11">
        <f t="shared" si="3"/>
        <v>3300000</v>
      </c>
      <c r="D127" s="11">
        <f t="shared" si="4"/>
        <v>99000</v>
      </c>
      <c r="E127" s="11"/>
      <c r="F127" s="11"/>
      <c r="G127" s="11">
        <v>99000</v>
      </c>
      <c r="H127" s="11"/>
      <c r="I127" s="30">
        <f t="shared" si="5"/>
        <v>3399000</v>
      </c>
    </row>
    <row r="128" spans="1:9" x14ac:dyDescent="0.3">
      <c r="A128" s="28">
        <v>12</v>
      </c>
      <c r="B128" s="9" t="str">
        <f t="shared" si="2"/>
        <v>Jumiah 2</v>
      </c>
      <c r="C128" s="11">
        <f t="shared" si="3"/>
        <v>2000000</v>
      </c>
      <c r="D128" s="11">
        <f t="shared" si="4"/>
        <v>60000</v>
      </c>
      <c r="E128" s="11"/>
      <c r="F128" s="11"/>
      <c r="G128" s="11"/>
      <c r="H128" s="11"/>
      <c r="I128" s="30">
        <f t="shared" si="5"/>
        <v>2000000</v>
      </c>
    </row>
    <row r="129" spans="1:9" x14ac:dyDescent="0.3">
      <c r="A129" s="28">
        <v>13</v>
      </c>
      <c r="B129" s="9" t="str">
        <f t="shared" si="2"/>
        <v>Kamari</v>
      </c>
      <c r="C129" s="11">
        <f t="shared" si="3"/>
        <v>7100000</v>
      </c>
      <c r="D129" s="11">
        <f t="shared" si="4"/>
        <v>213000</v>
      </c>
      <c r="E129" s="11"/>
      <c r="F129" s="11"/>
      <c r="G129" s="11"/>
      <c r="H129" s="11"/>
      <c r="I129" s="30">
        <f t="shared" si="5"/>
        <v>7100000</v>
      </c>
    </row>
    <row r="130" spans="1:9" x14ac:dyDescent="0.3">
      <c r="A130" s="28">
        <v>14</v>
      </c>
      <c r="B130" s="9" t="str">
        <f t="shared" si="2"/>
        <v xml:space="preserve">Kolidi </v>
      </c>
      <c r="C130" s="11">
        <f t="shared" si="3"/>
        <v>2500000</v>
      </c>
      <c r="D130" s="11">
        <f t="shared" si="4"/>
        <v>75000</v>
      </c>
      <c r="E130" s="11"/>
      <c r="F130" s="11"/>
      <c r="G130" s="11"/>
      <c r="H130" s="11"/>
      <c r="I130" s="30">
        <f t="shared" si="5"/>
        <v>2500000</v>
      </c>
    </row>
    <row r="131" spans="1:9" x14ac:dyDescent="0.3">
      <c r="A131" s="28">
        <v>15</v>
      </c>
      <c r="B131" s="9" t="str">
        <f t="shared" si="2"/>
        <v>Kuspandi</v>
      </c>
      <c r="C131" s="11">
        <f t="shared" si="3"/>
        <v>1545000</v>
      </c>
      <c r="D131" s="11">
        <f t="shared" si="4"/>
        <v>46350</v>
      </c>
      <c r="E131" s="11"/>
      <c r="F131" s="11"/>
      <c r="G131" s="11"/>
      <c r="H131" s="11"/>
      <c r="I131" s="30">
        <f t="shared" si="5"/>
        <v>1545000</v>
      </c>
    </row>
    <row r="132" spans="1:9" x14ac:dyDescent="0.3">
      <c r="A132" s="28">
        <v>16</v>
      </c>
      <c r="B132" s="9" t="str">
        <f t="shared" si="2"/>
        <v>Malikan</v>
      </c>
      <c r="C132" s="11">
        <f t="shared" si="3"/>
        <v>500000</v>
      </c>
      <c r="D132" s="11">
        <f t="shared" si="4"/>
        <v>15000</v>
      </c>
      <c r="E132" s="11"/>
      <c r="F132" s="11"/>
      <c r="G132" s="11"/>
      <c r="H132" s="11"/>
      <c r="I132" s="30">
        <f t="shared" si="5"/>
        <v>500000</v>
      </c>
    </row>
    <row r="133" spans="1:9" x14ac:dyDescent="0.3">
      <c r="A133" s="28">
        <v>17</v>
      </c>
      <c r="B133" s="9" t="str">
        <f t="shared" si="2"/>
        <v xml:space="preserve">Mardiyah </v>
      </c>
      <c r="C133" s="11">
        <f t="shared" si="3"/>
        <v>11000000</v>
      </c>
      <c r="D133" s="11">
        <f t="shared" si="4"/>
        <v>330000</v>
      </c>
      <c r="E133" s="11"/>
      <c r="F133" s="11"/>
      <c r="G133" s="11"/>
      <c r="H133" s="11"/>
      <c r="I133" s="30">
        <f t="shared" si="5"/>
        <v>11000000</v>
      </c>
    </row>
    <row r="134" spans="1:9" x14ac:dyDescent="0.3">
      <c r="A134" s="28">
        <v>18</v>
      </c>
      <c r="B134" s="9" t="str">
        <f t="shared" si="2"/>
        <v>Matakrip</v>
      </c>
      <c r="C134" s="11">
        <f t="shared" si="3"/>
        <v>1500000</v>
      </c>
      <c r="D134" s="11">
        <f t="shared" si="4"/>
        <v>45000</v>
      </c>
      <c r="E134" s="11"/>
      <c r="F134" s="11"/>
      <c r="G134" s="11">
        <v>200000</v>
      </c>
      <c r="H134" s="11"/>
      <c r="I134" s="30">
        <f t="shared" si="5"/>
        <v>1700000</v>
      </c>
    </row>
    <row r="135" spans="1:9" x14ac:dyDescent="0.3">
      <c r="A135" s="28">
        <v>19</v>
      </c>
      <c r="B135" s="9" t="str">
        <f t="shared" si="2"/>
        <v>Isti Umami</v>
      </c>
      <c r="C135" s="11">
        <f t="shared" si="3"/>
        <v>3900000</v>
      </c>
      <c r="D135" s="11">
        <f t="shared" si="4"/>
        <v>117000</v>
      </c>
      <c r="E135" s="11"/>
      <c r="F135" s="11"/>
      <c r="G135" s="11"/>
      <c r="H135" s="11"/>
      <c r="I135" s="30">
        <f t="shared" si="5"/>
        <v>3900000</v>
      </c>
    </row>
    <row r="136" spans="1:9" x14ac:dyDescent="0.3">
      <c r="A136" s="28">
        <v>20</v>
      </c>
      <c r="B136" s="9" t="str">
        <f t="shared" si="2"/>
        <v>Mathoha</v>
      </c>
      <c r="C136" s="11">
        <f t="shared" si="3"/>
        <v>3500000</v>
      </c>
      <c r="D136" s="11">
        <f t="shared" si="4"/>
        <v>105000</v>
      </c>
      <c r="E136" s="11"/>
      <c r="F136" s="11"/>
      <c r="G136" s="11">
        <v>105000</v>
      </c>
      <c r="H136" s="11"/>
      <c r="I136" s="30">
        <f t="shared" si="5"/>
        <v>3605000</v>
      </c>
    </row>
    <row r="137" spans="1:9" x14ac:dyDescent="0.3">
      <c r="A137" s="28">
        <v>21</v>
      </c>
      <c r="B137" s="9" t="str">
        <f t="shared" si="2"/>
        <v>Matkasan</v>
      </c>
      <c r="C137" s="11">
        <f t="shared" si="3"/>
        <v>1000000</v>
      </c>
      <c r="D137" s="11">
        <f t="shared" si="4"/>
        <v>30000</v>
      </c>
      <c r="E137" s="11"/>
      <c r="F137" s="11"/>
      <c r="G137" s="11"/>
      <c r="H137" s="11"/>
      <c r="I137" s="30">
        <f t="shared" si="5"/>
        <v>1000000</v>
      </c>
    </row>
    <row r="138" spans="1:9" x14ac:dyDescent="0.3">
      <c r="A138" s="28">
        <v>22</v>
      </c>
      <c r="B138" s="9" t="str">
        <f t="shared" si="2"/>
        <v>Umi Nadhiroh</v>
      </c>
      <c r="C138" s="11">
        <f t="shared" si="3"/>
        <v>2500000</v>
      </c>
      <c r="D138" s="11">
        <f t="shared" si="4"/>
        <v>75000</v>
      </c>
      <c r="E138" s="11"/>
      <c r="F138" s="11"/>
      <c r="G138" s="11">
        <v>500000</v>
      </c>
      <c r="H138" s="11"/>
      <c r="I138" s="30">
        <f t="shared" si="5"/>
        <v>3000000</v>
      </c>
    </row>
    <row r="139" spans="1:9" x14ac:dyDescent="0.3">
      <c r="A139" s="28">
        <v>23</v>
      </c>
      <c r="B139" s="9" t="str">
        <f t="shared" si="2"/>
        <v>Mi'an</v>
      </c>
      <c r="C139" s="11">
        <f t="shared" si="3"/>
        <v>5700000</v>
      </c>
      <c r="D139" s="11">
        <f t="shared" si="4"/>
        <v>171000</v>
      </c>
      <c r="E139" s="11"/>
      <c r="F139" s="11"/>
      <c r="G139" s="11"/>
      <c r="H139" s="11"/>
      <c r="I139" s="30">
        <f>C139</f>
        <v>5700000</v>
      </c>
    </row>
    <row r="140" spans="1:9" x14ac:dyDescent="0.3">
      <c r="A140" s="28">
        <v>24</v>
      </c>
      <c r="B140" s="9" t="str">
        <f t="shared" si="2"/>
        <v>Mu'minin</v>
      </c>
      <c r="C140" s="11">
        <f t="shared" si="3"/>
        <v>4000000</v>
      </c>
      <c r="D140" s="11">
        <f t="shared" si="4"/>
        <v>120000</v>
      </c>
      <c r="E140" s="11"/>
      <c r="F140" s="11"/>
      <c r="G140" s="11"/>
      <c r="H140" s="11"/>
      <c r="I140" s="30">
        <f t="shared" si="5"/>
        <v>4000000</v>
      </c>
    </row>
    <row r="141" spans="1:9" x14ac:dyDescent="0.3">
      <c r="A141" s="28">
        <v>25</v>
      </c>
      <c r="B141" s="9" t="str">
        <f t="shared" si="2"/>
        <v>Munawar</v>
      </c>
      <c r="C141" s="11">
        <f t="shared" si="3"/>
        <v>3300000</v>
      </c>
      <c r="D141" s="11">
        <f t="shared" si="4"/>
        <v>99000</v>
      </c>
      <c r="E141" s="11"/>
      <c r="F141" s="11"/>
      <c r="G141" s="11"/>
      <c r="H141" s="11"/>
      <c r="I141" s="30">
        <f t="shared" si="5"/>
        <v>3300000</v>
      </c>
    </row>
    <row r="142" spans="1:9" x14ac:dyDescent="0.3">
      <c r="A142" s="28">
        <v>26</v>
      </c>
      <c r="B142" s="9" t="str">
        <f t="shared" si="2"/>
        <v>Muslikatin</v>
      </c>
      <c r="C142" s="11">
        <f t="shared" si="3"/>
        <v>1000000</v>
      </c>
      <c r="D142" s="11">
        <f t="shared" si="4"/>
        <v>30000</v>
      </c>
      <c r="E142" s="11"/>
      <c r="F142" s="11"/>
      <c r="G142" s="11"/>
      <c r="H142" s="11"/>
      <c r="I142" s="30">
        <f t="shared" si="5"/>
        <v>1000000</v>
      </c>
    </row>
    <row r="143" spans="1:9" x14ac:dyDescent="0.3">
      <c r="A143" s="28">
        <v>27</v>
      </c>
      <c r="B143" s="9" t="str">
        <f t="shared" si="2"/>
        <v>Nurhadi</v>
      </c>
      <c r="C143" s="11">
        <f t="shared" si="3"/>
        <v>2000000</v>
      </c>
      <c r="D143" s="11">
        <f t="shared" si="4"/>
        <v>60000</v>
      </c>
      <c r="E143" s="11"/>
      <c r="F143" s="11"/>
      <c r="G143" s="11"/>
      <c r="H143" s="11"/>
      <c r="I143" s="30">
        <f t="shared" si="5"/>
        <v>2000000</v>
      </c>
    </row>
    <row r="144" spans="1:9" x14ac:dyDescent="0.3">
      <c r="A144" s="28">
        <v>28</v>
      </c>
      <c r="B144" s="9" t="str">
        <f t="shared" si="2"/>
        <v>Siti Nurmahmudah</v>
      </c>
      <c r="C144" s="11">
        <f t="shared" si="3"/>
        <v>6500000</v>
      </c>
      <c r="D144" s="11">
        <f t="shared" si="4"/>
        <v>195000</v>
      </c>
      <c r="E144" s="11"/>
      <c r="F144" s="11"/>
      <c r="G144" s="11"/>
      <c r="H144" s="11"/>
      <c r="I144" s="30">
        <f t="shared" si="5"/>
        <v>6500000</v>
      </c>
    </row>
    <row r="145" spans="1:9" x14ac:dyDescent="0.3">
      <c r="A145" s="28">
        <v>29</v>
      </c>
      <c r="B145" s="9" t="str">
        <f t="shared" si="2"/>
        <v>Saeman</v>
      </c>
      <c r="C145" s="11">
        <f t="shared" si="3"/>
        <v>7000000</v>
      </c>
      <c r="D145" s="11">
        <f t="shared" si="4"/>
        <v>210000</v>
      </c>
      <c r="E145" s="11"/>
      <c r="F145" s="11"/>
      <c r="G145" s="11"/>
      <c r="H145" s="11"/>
      <c r="I145" s="30">
        <f t="shared" si="5"/>
        <v>7000000</v>
      </c>
    </row>
    <row r="146" spans="1:9" x14ac:dyDescent="0.3">
      <c r="A146" s="28">
        <v>30</v>
      </c>
      <c r="B146" s="9" t="str">
        <f t="shared" si="2"/>
        <v>Sarto</v>
      </c>
      <c r="C146" s="11">
        <f t="shared" si="3"/>
        <v>2000000</v>
      </c>
      <c r="D146" s="11">
        <f t="shared" si="4"/>
        <v>60000</v>
      </c>
      <c r="E146" s="11"/>
      <c r="F146" s="11"/>
      <c r="G146" s="11"/>
      <c r="H146" s="11"/>
      <c r="I146" s="30">
        <f t="shared" si="5"/>
        <v>2000000</v>
      </c>
    </row>
    <row r="147" spans="1:9" x14ac:dyDescent="0.3">
      <c r="A147" s="28">
        <v>31</v>
      </c>
      <c r="B147" s="9" t="str">
        <f t="shared" si="2"/>
        <v>Sholik 9</v>
      </c>
      <c r="C147" s="11">
        <f t="shared" si="3"/>
        <v>20085000</v>
      </c>
      <c r="D147" s="11">
        <f t="shared" si="4"/>
        <v>602550</v>
      </c>
      <c r="E147" s="11"/>
      <c r="F147" s="11"/>
      <c r="G147" s="11">
        <v>602550</v>
      </c>
      <c r="H147" s="11"/>
      <c r="I147" s="30">
        <f t="shared" si="5"/>
        <v>20687550</v>
      </c>
    </row>
    <row r="148" spans="1:9" x14ac:dyDescent="0.3">
      <c r="A148" s="28">
        <v>32</v>
      </c>
      <c r="B148" s="9" t="str">
        <f t="shared" si="2"/>
        <v>Siono</v>
      </c>
      <c r="C148" s="11">
        <f t="shared" si="3"/>
        <v>6180000</v>
      </c>
      <c r="D148" s="11">
        <f t="shared" si="4"/>
        <v>185400</v>
      </c>
      <c r="E148" s="11"/>
      <c r="F148" s="11"/>
      <c r="G148" s="11"/>
      <c r="H148" s="11">
        <v>180000</v>
      </c>
      <c r="I148" s="30">
        <f t="shared" si="5"/>
        <v>6000000</v>
      </c>
    </row>
    <row r="149" spans="1:9" x14ac:dyDescent="0.3">
      <c r="A149" s="28">
        <v>33</v>
      </c>
      <c r="B149" s="9" t="str">
        <f t="shared" si="2"/>
        <v>Sumadi</v>
      </c>
      <c r="C149" s="11">
        <f t="shared" si="3"/>
        <v>5500000</v>
      </c>
      <c r="D149" s="11">
        <f t="shared" si="4"/>
        <v>165000</v>
      </c>
      <c r="E149" s="11"/>
      <c r="F149" s="11"/>
      <c r="G149" s="11">
        <v>1000000</v>
      </c>
      <c r="H149" s="11"/>
      <c r="I149" s="30">
        <f t="shared" si="5"/>
        <v>6500000</v>
      </c>
    </row>
    <row r="150" spans="1:9" x14ac:dyDescent="0.3">
      <c r="A150" s="28">
        <v>34</v>
      </c>
      <c r="B150" s="9" t="str">
        <f t="shared" si="2"/>
        <v>Sumar</v>
      </c>
      <c r="C150" s="11">
        <f t="shared" si="3"/>
        <v>4000000</v>
      </c>
      <c r="D150" s="11">
        <f t="shared" si="4"/>
        <v>120000</v>
      </c>
      <c r="E150" s="11"/>
      <c r="F150" s="11"/>
      <c r="G150" s="11">
        <v>500000</v>
      </c>
      <c r="H150" s="11"/>
      <c r="I150" s="30">
        <f t="shared" si="5"/>
        <v>4500000</v>
      </c>
    </row>
    <row r="151" spans="1:9" x14ac:dyDescent="0.3">
      <c r="A151" s="28">
        <v>35</v>
      </c>
      <c r="B151" s="9" t="str">
        <f t="shared" si="2"/>
        <v>Sunamah</v>
      </c>
      <c r="C151" s="11">
        <f t="shared" si="3"/>
        <v>5500000</v>
      </c>
      <c r="D151" s="11">
        <f t="shared" si="4"/>
        <v>165000</v>
      </c>
      <c r="E151" s="11"/>
      <c r="F151" s="11"/>
      <c r="G151" s="11">
        <v>1000000</v>
      </c>
      <c r="H151" s="11"/>
      <c r="I151" s="30">
        <f t="shared" si="5"/>
        <v>6500000</v>
      </c>
    </row>
    <row r="152" spans="1:9" x14ac:dyDescent="0.3">
      <c r="A152" s="28">
        <v>36</v>
      </c>
      <c r="B152" s="9" t="str">
        <f t="shared" si="2"/>
        <v>Supiani</v>
      </c>
      <c r="C152" s="11">
        <f t="shared" si="3"/>
        <v>2000000</v>
      </c>
      <c r="D152" s="11">
        <f t="shared" si="4"/>
        <v>60000</v>
      </c>
      <c r="E152" s="11"/>
      <c r="F152" s="11"/>
      <c r="G152" s="11"/>
      <c r="H152" s="11"/>
      <c r="I152" s="30">
        <f t="shared" si="5"/>
        <v>2000000</v>
      </c>
    </row>
    <row r="153" spans="1:9" x14ac:dyDescent="0.3">
      <c r="A153" s="28">
        <v>37</v>
      </c>
      <c r="B153" s="9" t="str">
        <f t="shared" si="2"/>
        <v>Supriaji</v>
      </c>
      <c r="C153" s="11">
        <f t="shared" si="3"/>
        <v>12000000</v>
      </c>
      <c r="D153" s="11">
        <f t="shared" si="4"/>
        <v>360000</v>
      </c>
      <c r="E153" s="11"/>
      <c r="F153" s="11"/>
      <c r="G153" s="11">
        <v>360000</v>
      </c>
      <c r="H153" s="11"/>
      <c r="I153" s="30">
        <f t="shared" si="5"/>
        <v>12360000</v>
      </c>
    </row>
    <row r="154" spans="1:9" x14ac:dyDescent="0.3">
      <c r="A154" s="28">
        <v>38</v>
      </c>
      <c r="B154" s="9" t="str">
        <f t="shared" si="2"/>
        <v>Suwanan/Iksan</v>
      </c>
      <c r="C154" s="11">
        <f t="shared" si="3"/>
        <v>5000000</v>
      </c>
      <c r="D154" s="11">
        <f t="shared" si="4"/>
        <v>150000</v>
      </c>
      <c r="E154" s="11"/>
      <c r="F154" s="11"/>
      <c r="G154" s="11"/>
      <c r="H154" s="11"/>
      <c r="I154" s="30">
        <f t="shared" si="5"/>
        <v>5000000</v>
      </c>
    </row>
    <row r="155" spans="1:9" x14ac:dyDescent="0.3">
      <c r="A155" s="28">
        <v>39</v>
      </c>
      <c r="B155" s="9" t="str">
        <f t="shared" si="2"/>
        <v>Suwari</v>
      </c>
      <c r="C155" s="11">
        <f t="shared" si="3"/>
        <v>1030000</v>
      </c>
      <c r="D155" s="11">
        <f t="shared" si="4"/>
        <v>30900</v>
      </c>
      <c r="E155" s="11"/>
      <c r="F155" s="11"/>
      <c r="G155" s="11"/>
      <c r="H155" s="11"/>
      <c r="I155" s="30">
        <f t="shared" si="5"/>
        <v>1030000</v>
      </c>
    </row>
    <row r="156" spans="1:9" x14ac:dyDescent="0.3">
      <c r="A156" s="28">
        <v>40</v>
      </c>
      <c r="B156" s="9" t="str">
        <f t="shared" si="2"/>
        <v>Suyono 2</v>
      </c>
      <c r="C156" s="11">
        <f t="shared" si="3"/>
        <v>8500000</v>
      </c>
      <c r="D156" s="11">
        <f t="shared" si="4"/>
        <v>255000</v>
      </c>
      <c r="E156" s="11"/>
      <c r="F156" s="11"/>
      <c r="G156" s="11"/>
      <c r="H156" s="11"/>
      <c r="I156" s="30">
        <f t="shared" si="5"/>
        <v>8500000</v>
      </c>
    </row>
    <row r="157" spans="1:9" x14ac:dyDescent="0.3">
      <c r="A157" s="28">
        <v>41</v>
      </c>
      <c r="B157" s="9" t="str">
        <f t="shared" si="2"/>
        <v>Tisno</v>
      </c>
      <c r="C157" s="11">
        <f t="shared" si="3"/>
        <v>2000000</v>
      </c>
      <c r="D157" s="11">
        <f t="shared" si="4"/>
        <v>60000</v>
      </c>
      <c r="E157" s="11"/>
      <c r="F157" s="11"/>
      <c r="G157" s="11"/>
      <c r="H157" s="11"/>
      <c r="I157" s="30">
        <f t="shared" si="5"/>
        <v>2000000</v>
      </c>
    </row>
    <row r="158" spans="1:9" x14ac:dyDescent="0.3">
      <c r="A158" s="28">
        <v>42</v>
      </c>
      <c r="B158" s="9" t="str">
        <f t="shared" si="2"/>
        <v>Umi Kulsum</v>
      </c>
      <c r="C158" s="11">
        <f t="shared" si="3"/>
        <v>4000000</v>
      </c>
      <c r="D158" s="11">
        <f t="shared" si="4"/>
        <v>120000</v>
      </c>
      <c r="E158" s="11"/>
      <c r="F158" s="11"/>
      <c r="G158" s="11"/>
      <c r="H158" s="11"/>
      <c r="I158" s="30">
        <f t="shared" si="5"/>
        <v>4000000</v>
      </c>
    </row>
    <row r="159" spans="1:9" x14ac:dyDescent="0.3">
      <c r="A159" s="28">
        <v>43</v>
      </c>
      <c r="B159" s="9" t="str">
        <f t="shared" si="2"/>
        <v>Rofiq</v>
      </c>
      <c r="C159" s="11">
        <f t="shared" si="3"/>
        <v>1500000</v>
      </c>
      <c r="D159" s="11">
        <f t="shared" si="4"/>
        <v>45000</v>
      </c>
      <c r="E159" s="11"/>
      <c r="F159" s="11"/>
      <c r="G159" s="11"/>
      <c r="H159" s="11"/>
      <c r="I159" s="30">
        <f t="shared" si="5"/>
        <v>1500000</v>
      </c>
    </row>
    <row r="160" spans="1:9" x14ac:dyDescent="0.3">
      <c r="A160" s="28">
        <v>44</v>
      </c>
      <c r="B160" s="9" t="str">
        <f t="shared" si="2"/>
        <v>Zumaroh</v>
      </c>
      <c r="C160" s="11">
        <f t="shared" si="3"/>
        <v>3000000</v>
      </c>
      <c r="D160" s="11">
        <f t="shared" si="4"/>
        <v>90000</v>
      </c>
      <c r="E160" s="11"/>
      <c r="F160" s="11"/>
      <c r="G160" s="11"/>
      <c r="H160" s="11"/>
      <c r="I160" s="30">
        <f t="shared" si="5"/>
        <v>3000000</v>
      </c>
    </row>
    <row r="161" spans="1:9" x14ac:dyDescent="0.3">
      <c r="A161" s="28">
        <v>45</v>
      </c>
      <c r="B161" s="9" t="str">
        <f t="shared" si="2"/>
        <v>Ning Husniah</v>
      </c>
      <c r="C161" s="11">
        <f t="shared" si="3"/>
        <v>1000000</v>
      </c>
      <c r="D161" s="11">
        <f t="shared" si="4"/>
        <v>30000</v>
      </c>
      <c r="E161" s="11"/>
      <c r="F161" s="11"/>
      <c r="G161" s="11"/>
      <c r="H161" s="11"/>
      <c r="I161" s="30">
        <f t="shared" si="5"/>
        <v>1000000</v>
      </c>
    </row>
    <row r="162" spans="1:9" x14ac:dyDescent="0.3">
      <c r="A162" s="28">
        <v>46</v>
      </c>
      <c r="B162" s="9" t="str">
        <f t="shared" si="2"/>
        <v>Lu'luur R</v>
      </c>
      <c r="C162" s="11">
        <f t="shared" si="3"/>
        <v>7000000</v>
      </c>
      <c r="D162" s="11">
        <f t="shared" si="4"/>
        <v>210000</v>
      </c>
      <c r="E162" s="11"/>
      <c r="F162" s="11"/>
      <c r="G162" s="11"/>
      <c r="H162" s="11"/>
      <c r="I162" s="30">
        <f t="shared" si="5"/>
        <v>7000000</v>
      </c>
    </row>
    <row r="163" spans="1:9" x14ac:dyDescent="0.3">
      <c r="A163" s="28">
        <v>47</v>
      </c>
      <c r="B163" s="9" t="str">
        <f t="shared" si="2"/>
        <v>Umar</v>
      </c>
      <c r="C163" s="11">
        <f t="shared" si="3"/>
        <v>1500000</v>
      </c>
      <c r="D163" s="11">
        <f t="shared" si="4"/>
        <v>45000</v>
      </c>
      <c r="E163" s="11"/>
      <c r="F163" s="11"/>
      <c r="G163" s="11"/>
      <c r="H163" s="11"/>
      <c r="I163" s="30">
        <f t="shared" si="5"/>
        <v>1500000</v>
      </c>
    </row>
    <row r="164" spans="1:9" x14ac:dyDescent="0.3">
      <c r="A164" s="28">
        <v>48</v>
      </c>
      <c r="B164" s="9" t="str">
        <f t="shared" si="2"/>
        <v>Ana/Bu Khoiri</v>
      </c>
      <c r="C164" s="11">
        <f t="shared" si="3"/>
        <v>1030000</v>
      </c>
      <c r="D164" s="11">
        <f t="shared" si="4"/>
        <v>30900</v>
      </c>
      <c r="E164" s="11"/>
      <c r="F164" s="11"/>
      <c r="G164" s="11">
        <v>61800</v>
      </c>
      <c r="H164" s="11"/>
      <c r="I164" s="30">
        <f t="shared" si="5"/>
        <v>1091800</v>
      </c>
    </row>
    <row r="165" spans="1:9" x14ac:dyDescent="0.3">
      <c r="A165" s="28">
        <v>49</v>
      </c>
      <c r="B165" s="9" t="str">
        <f t="shared" si="2"/>
        <v>Anik Mahsunah W</v>
      </c>
      <c r="C165" s="11">
        <f t="shared" si="3"/>
        <v>0</v>
      </c>
      <c r="D165" s="11">
        <f t="shared" si="4"/>
        <v>0</v>
      </c>
      <c r="E165" s="11"/>
      <c r="F165" s="11"/>
      <c r="G165" s="11">
        <v>1000000</v>
      </c>
      <c r="H165" s="11"/>
      <c r="I165" s="30">
        <f t="shared" si="5"/>
        <v>1000000</v>
      </c>
    </row>
    <row r="166" spans="1:9" x14ac:dyDescent="0.3">
      <c r="A166" s="28">
        <v>50</v>
      </c>
      <c r="B166" s="9" t="str">
        <f t="shared" si="2"/>
        <v>Fajrul Ummah</v>
      </c>
      <c r="C166" s="11">
        <f t="shared" si="3"/>
        <v>16995000</v>
      </c>
      <c r="D166" s="11">
        <f t="shared" si="4"/>
        <v>509850</v>
      </c>
      <c r="E166" s="11"/>
      <c r="F166" s="11"/>
      <c r="G166" s="11">
        <v>509850</v>
      </c>
      <c r="H166" s="11"/>
      <c r="I166" s="30">
        <f t="shared" si="5"/>
        <v>17504850</v>
      </c>
    </row>
    <row r="167" spans="1:9" x14ac:dyDescent="0.3">
      <c r="A167" s="28">
        <v>51</v>
      </c>
      <c r="B167" s="9" t="str">
        <f t="shared" si="2"/>
        <v>Imam Masrodin</v>
      </c>
      <c r="C167" s="11">
        <f t="shared" si="3"/>
        <v>500000</v>
      </c>
      <c r="D167" s="11">
        <f t="shared" si="4"/>
        <v>15000</v>
      </c>
      <c r="E167" s="11"/>
      <c r="F167" s="11"/>
      <c r="G167" s="11"/>
      <c r="H167" s="11"/>
      <c r="I167" s="30">
        <f t="shared" si="5"/>
        <v>500000</v>
      </c>
    </row>
    <row r="168" spans="1:9" x14ac:dyDescent="0.3">
      <c r="A168" s="28">
        <v>52</v>
      </c>
      <c r="B168" s="9" t="str">
        <f t="shared" si="2"/>
        <v>Muayanah</v>
      </c>
      <c r="C168" s="11">
        <f t="shared" si="3"/>
        <v>8300000</v>
      </c>
      <c r="D168" s="11">
        <f t="shared" si="4"/>
        <v>249000</v>
      </c>
      <c r="E168" s="11"/>
      <c r="F168" s="11"/>
      <c r="G168" s="11"/>
      <c r="H168" s="11"/>
      <c r="I168" s="30">
        <f t="shared" si="5"/>
        <v>8300000</v>
      </c>
    </row>
    <row r="169" spans="1:9" x14ac:dyDescent="0.3">
      <c r="A169" s="28">
        <v>53</v>
      </c>
      <c r="B169" s="9" t="str">
        <f t="shared" si="2"/>
        <v>Siswanto</v>
      </c>
      <c r="C169" s="11">
        <f t="shared" si="3"/>
        <v>3000000</v>
      </c>
      <c r="D169" s="11">
        <f t="shared" si="4"/>
        <v>90000</v>
      </c>
      <c r="E169" s="11"/>
      <c r="F169" s="11"/>
      <c r="G169" s="11"/>
      <c r="H169" s="11"/>
      <c r="I169" s="30">
        <f t="shared" si="5"/>
        <v>3000000</v>
      </c>
    </row>
    <row r="170" spans="1:9" x14ac:dyDescent="0.3">
      <c r="A170" s="28">
        <v>54</v>
      </c>
      <c r="B170" s="9" t="str">
        <f t="shared" si="2"/>
        <v>Bin Asiyah</v>
      </c>
      <c r="C170" s="11">
        <f t="shared" si="3"/>
        <v>6000000</v>
      </c>
      <c r="D170" s="11">
        <f t="shared" si="4"/>
        <v>180000</v>
      </c>
      <c r="E170" s="11"/>
      <c r="F170" s="11"/>
      <c r="G170" s="11"/>
      <c r="H170" s="11"/>
      <c r="I170" s="30">
        <f t="shared" si="5"/>
        <v>6000000</v>
      </c>
    </row>
    <row r="171" spans="1:9" x14ac:dyDescent="0.3">
      <c r="A171" s="28">
        <v>55</v>
      </c>
      <c r="B171" s="9" t="str">
        <f t="shared" si="2"/>
        <v>Tayem</v>
      </c>
      <c r="C171" s="11">
        <f t="shared" si="3"/>
        <v>14500000</v>
      </c>
      <c r="D171" s="11">
        <f t="shared" si="4"/>
        <v>435000</v>
      </c>
      <c r="E171" s="11"/>
      <c r="F171" s="11"/>
      <c r="G171" s="11"/>
      <c r="H171" s="11"/>
      <c r="I171" s="30">
        <f t="shared" si="5"/>
        <v>14500000</v>
      </c>
    </row>
    <row r="172" spans="1:9" x14ac:dyDescent="0.3">
      <c r="A172" s="28">
        <v>56</v>
      </c>
      <c r="B172" s="9" t="str">
        <f t="shared" si="2"/>
        <v>Sholahuddin Afif</v>
      </c>
      <c r="C172" s="11">
        <f t="shared" si="3"/>
        <v>13000000</v>
      </c>
      <c r="D172" s="11">
        <f t="shared" si="4"/>
        <v>390000</v>
      </c>
      <c r="E172" s="11"/>
      <c r="F172" s="11"/>
      <c r="G172" s="11"/>
      <c r="H172" s="11"/>
      <c r="I172" s="30">
        <f t="shared" si="5"/>
        <v>13000000</v>
      </c>
    </row>
    <row r="173" spans="1:9" x14ac:dyDescent="0.3">
      <c r="A173" s="28">
        <v>57</v>
      </c>
      <c r="B173" s="9" t="str">
        <f t="shared" si="2"/>
        <v>Masithah</v>
      </c>
      <c r="C173" s="11">
        <f t="shared" si="3"/>
        <v>1000000</v>
      </c>
      <c r="D173" s="11">
        <f t="shared" si="4"/>
        <v>30000</v>
      </c>
      <c r="E173" s="11"/>
      <c r="F173" s="11"/>
      <c r="G173" s="11"/>
      <c r="H173" s="11"/>
      <c r="I173" s="30">
        <f t="shared" si="5"/>
        <v>1000000</v>
      </c>
    </row>
    <row r="174" spans="1:9" x14ac:dyDescent="0.3">
      <c r="A174" s="28">
        <v>58</v>
      </c>
      <c r="B174" s="9" t="str">
        <f t="shared" si="2"/>
        <v>Rikayati</v>
      </c>
      <c r="C174" s="11">
        <f t="shared" si="3"/>
        <v>2000000</v>
      </c>
      <c r="D174" s="11">
        <f t="shared" si="4"/>
        <v>60000</v>
      </c>
      <c r="E174" s="11"/>
      <c r="F174" s="11"/>
      <c r="G174" s="11"/>
      <c r="H174" s="11"/>
      <c r="I174" s="30">
        <f>C174+E174-F174+G174-H174</f>
        <v>2000000</v>
      </c>
    </row>
    <row r="175" spans="1:9" x14ac:dyDescent="0.3">
      <c r="A175" s="28">
        <v>59</v>
      </c>
      <c r="B175" s="9" t="str">
        <f t="shared" si="2"/>
        <v>Misbahuddin</v>
      </c>
      <c r="C175" s="11">
        <f t="shared" si="3"/>
        <v>2000000</v>
      </c>
      <c r="D175" s="11">
        <f t="shared" si="4"/>
        <v>60000</v>
      </c>
      <c r="E175" s="11"/>
      <c r="F175" s="11"/>
      <c r="G175" s="11"/>
      <c r="H175" s="11"/>
      <c r="I175" s="30">
        <f>C175+E175-F175+G175-H175</f>
        <v>2000000</v>
      </c>
    </row>
    <row r="176" spans="1:9" x14ac:dyDescent="0.3">
      <c r="A176" s="28">
        <v>60</v>
      </c>
      <c r="B176" s="9" t="str">
        <f t="shared" si="2"/>
        <v>Munisah</v>
      </c>
      <c r="C176" s="11">
        <f t="shared" si="3"/>
        <v>500000</v>
      </c>
      <c r="D176" s="11">
        <f t="shared" si="4"/>
        <v>15000</v>
      </c>
      <c r="E176" s="11"/>
      <c r="F176" s="11"/>
      <c r="G176" s="11"/>
      <c r="H176" s="11"/>
      <c r="I176" s="30">
        <f>C176+E176-F176+G176-H176</f>
        <v>500000</v>
      </c>
    </row>
    <row r="177" spans="1:9" x14ac:dyDescent="0.3">
      <c r="A177" s="28">
        <v>61</v>
      </c>
      <c r="B177" s="9"/>
      <c r="C177" s="11"/>
      <c r="D177" s="11"/>
      <c r="E177" s="11"/>
      <c r="F177" s="11"/>
      <c r="G177" s="11"/>
      <c r="H177" s="11"/>
      <c r="I177" s="30"/>
    </row>
    <row r="178" spans="1:9" x14ac:dyDescent="0.3">
      <c r="A178" s="28">
        <v>62</v>
      </c>
      <c r="B178" s="9"/>
      <c r="C178" s="11"/>
      <c r="D178" s="11"/>
      <c r="E178" s="11"/>
      <c r="F178" s="11"/>
      <c r="G178" s="11"/>
      <c r="H178" s="11"/>
      <c r="I178" s="30"/>
    </row>
    <row r="179" spans="1:9" x14ac:dyDescent="0.3">
      <c r="A179" s="28">
        <v>63</v>
      </c>
      <c r="B179" s="9"/>
      <c r="C179" s="11"/>
      <c r="D179" s="11"/>
      <c r="E179" s="11"/>
      <c r="F179" s="11"/>
      <c r="G179" s="11"/>
      <c r="H179" s="11"/>
      <c r="I179" s="30"/>
    </row>
    <row r="180" spans="1:9" x14ac:dyDescent="0.3">
      <c r="A180" s="28">
        <v>64</v>
      </c>
      <c r="B180" s="9"/>
      <c r="C180" s="11"/>
      <c r="D180" s="11"/>
      <c r="E180" s="11"/>
      <c r="F180" s="11"/>
      <c r="G180" s="11"/>
      <c r="H180" s="11"/>
      <c r="I180" s="30"/>
    </row>
    <row r="181" spans="1:9" x14ac:dyDescent="0.3">
      <c r="A181" s="28">
        <v>65</v>
      </c>
      <c r="B181" s="9"/>
      <c r="C181" s="11"/>
      <c r="D181" s="11"/>
      <c r="E181" s="11"/>
      <c r="F181" s="11"/>
      <c r="G181" s="11"/>
      <c r="H181" s="11"/>
      <c r="I181" s="30"/>
    </row>
    <row r="182" spans="1:9" ht="17.25" thickBot="1" x14ac:dyDescent="0.35">
      <c r="A182" s="31" t="s">
        <v>13</v>
      </c>
      <c r="B182" s="32"/>
      <c r="C182" s="15">
        <f t="shared" ref="C182:I182" si="6">SUM(C117:C176)</f>
        <v>281465000</v>
      </c>
      <c r="D182" s="15">
        <f t="shared" si="6"/>
        <v>8443950</v>
      </c>
      <c r="E182" s="15">
        <f t="shared" si="6"/>
        <v>0</v>
      </c>
      <c r="F182" s="15">
        <f t="shared" si="6"/>
        <v>0</v>
      </c>
      <c r="G182" s="15">
        <f t="shared" si="6"/>
        <v>5938200</v>
      </c>
      <c r="H182" s="15">
        <f t="shared" si="6"/>
        <v>180000</v>
      </c>
      <c r="I182" s="33">
        <f t="shared" si="6"/>
        <v>287223200</v>
      </c>
    </row>
    <row r="183" spans="1:9" x14ac:dyDescent="0.3">
      <c r="A183" s="3"/>
      <c r="B183" s="3"/>
      <c r="C183" s="34"/>
      <c r="D183" s="3"/>
      <c r="E183" s="3"/>
      <c r="F183" s="3"/>
      <c r="G183" s="3"/>
      <c r="H183" s="3"/>
      <c r="I183" s="19"/>
    </row>
    <row r="184" spans="1:9" x14ac:dyDescent="0.3">
      <c r="A184" s="3"/>
      <c r="B184" s="3"/>
      <c r="C184" s="3"/>
      <c r="D184" s="3"/>
      <c r="E184" s="3"/>
      <c r="F184" s="3"/>
      <c r="G184" s="3"/>
      <c r="H184" s="3" t="s">
        <v>18</v>
      </c>
    </row>
    <row r="185" spans="1:9" x14ac:dyDescent="0.3">
      <c r="A185" s="3"/>
      <c r="B185" s="3"/>
      <c r="C185" s="3"/>
      <c r="D185" s="3"/>
      <c r="E185" s="3"/>
      <c r="F185" s="3"/>
      <c r="G185" s="3"/>
      <c r="H185" s="3"/>
    </row>
    <row r="186" spans="1:9" x14ac:dyDescent="0.3">
      <c r="A186" s="3"/>
      <c r="B186" s="3"/>
      <c r="C186" s="3"/>
      <c r="D186" s="3"/>
      <c r="E186" s="3"/>
      <c r="F186" s="3"/>
      <c r="G186" s="3"/>
      <c r="H186" s="3"/>
    </row>
    <row r="187" spans="1:9" x14ac:dyDescent="0.3">
      <c r="A187" s="3"/>
      <c r="B187" s="3"/>
      <c r="C187" s="3"/>
      <c r="D187" s="3"/>
      <c r="E187" s="3"/>
      <c r="F187" s="3"/>
      <c r="G187" s="3"/>
      <c r="H187" s="3"/>
    </row>
    <row r="188" spans="1:9" x14ac:dyDescent="0.3">
      <c r="A188" s="3"/>
      <c r="B188" s="3"/>
      <c r="C188" s="3"/>
      <c r="D188" s="3"/>
      <c r="E188" s="3"/>
      <c r="F188" s="3"/>
      <c r="G188" s="3"/>
      <c r="H188" s="20" t="s">
        <v>15</v>
      </c>
    </row>
    <row r="189" spans="1:9" x14ac:dyDescent="0.3">
      <c r="A189" s="3"/>
      <c r="B189" s="3"/>
      <c r="C189" s="3"/>
      <c r="D189" s="3"/>
      <c r="E189" s="3"/>
      <c r="F189" s="3"/>
      <c r="G189" s="3"/>
      <c r="H189" s="3"/>
    </row>
    <row r="190" spans="1:9" x14ac:dyDescent="0.3">
      <c r="A190" s="3"/>
      <c r="B190" s="3"/>
      <c r="C190" s="3"/>
      <c r="D190" s="3"/>
      <c r="E190" s="3"/>
      <c r="F190" s="3"/>
      <c r="G190" s="3"/>
      <c r="H190" s="3"/>
    </row>
    <row r="191" spans="1:9" x14ac:dyDescent="0.3">
      <c r="A191" s="3"/>
      <c r="B191" s="3"/>
      <c r="C191" s="3"/>
      <c r="D191" s="3"/>
      <c r="E191" s="3"/>
      <c r="F191" s="3"/>
      <c r="G191" s="3"/>
      <c r="H191" s="3"/>
    </row>
    <row r="192" spans="1:9" x14ac:dyDescent="0.3">
      <c r="A192" s="3"/>
      <c r="B192" s="3"/>
      <c r="C192" s="3"/>
      <c r="D192" s="3"/>
      <c r="E192" s="3"/>
      <c r="F192" s="3"/>
      <c r="G192" s="3"/>
      <c r="H192" s="3"/>
    </row>
    <row r="193" spans="1:8" x14ac:dyDescent="0.3">
      <c r="A193" s="3"/>
      <c r="B193" s="3"/>
      <c r="C193" s="3"/>
      <c r="D193" s="3"/>
      <c r="E193" s="3"/>
      <c r="F193" s="3"/>
      <c r="G193" s="3"/>
      <c r="H193" s="3"/>
    </row>
    <row r="194" spans="1:8" x14ac:dyDescent="0.3">
      <c r="A194" s="3"/>
      <c r="B194" s="3"/>
      <c r="C194" s="3"/>
      <c r="D194" s="3"/>
      <c r="E194" s="3"/>
      <c r="F194" s="3"/>
      <c r="G194" s="3"/>
      <c r="H194" s="3"/>
    </row>
    <row r="195" spans="1:8" x14ac:dyDescent="0.3">
      <c r="A195" s="3"/>
      <c r="B195" s="3"/>
      <c r="C195" s="3"/>
      <c r="D195" s="3"/>
      <c r="E195" s="3"/>
      <c r="F195" s="3"/>
      <c r="G195" s="3"/>
      <c r="H195" s="3"/>
    </row>
    <row r="196" spans="1:8" x14ac:dyDescent="0.3">
      <c r="A196" s="3"/>
      <c r="B196" s="3"/>
      <c r="C196" s="3"/>
      <c r="D196" s="3"/>
      <c r="E196" s="3"/>
      <c r="F196" s="3"/>
      <c r="G196" s="3"/>
      <c r="H196" s="3"/>
    </row>
    <row r="197" spans="1:8" x14ac:dyDescent="0.3">
      <c r="A197" s="3"/>
      <c r="B197" s="3"/>
      <c r="C197" s="3"/>
      <c r="D197" s="3"/>
      <c r="E197" s="3"/>
      <c r="F197" s="3"/>
      <c r="G197" s="3"/>
      <c r="H197" s="3"/>
    </row>
    <row r="198" spans="1:8" x14ac:dyDescent="0.3">
      <c r="A198" s="3"/>
      <c r="B198" s="3"/>
      <c r="C198" s="3"/>
      <c r="D198" s="3"/>
      <c r="E198" s="3"/>
      <c r="F198" s="3"/>
      <c r="G198" s="3"/>
      <c r="H198" s="3"/>
    </row>
    <row r="199" spans="1:8" x14ac:dyDescent="0.3">
      <c r="A199" s="3"/>
      <c r="B199" s="3"/>
      <c r="C199" s="3"/>
      <c r="D199" s="3"/>
      <c r="E199" s="3"/>
      <c r="F199" s="3"/>
      <c r="G199" s="3"/>
      <c r="H199" s="3"/>
    </row>
    <row r="200" spans="1:8" x14ac:dyDescent="0.3">
      <c r="A200" s="3"/>
      <c r="B200" s="3"/>
      <c r="C200" s="3"/>
      <c r="D200" s="3"/>
      <c r="E200" s="3"/>
      <c r="F200" s="3"/>
      <c r="G200" s="3"/>
      <c r="H200" s="3"/>
    </row>
    <row r="201" spans="1:8" x14ac:dyDescent="0.3">
      <c r="A201" s="3"/>
      <c r="B201" s="3"/>
      <c r="C201" s="3"/>
      <c r="D201" s="3"/>
      <c r="E201" s="3"/>
      <c r="F201" s="3"/>
      <c r="G201" s="3"/>
      <c r="H201" s="3"/>
    </row>
    <row r="202" spans="1:8" x14ac:dyDescent="0.3">
      <c r="A202" s="3"/>
      <c r="B202" s="3"/>
      <c r="C202" s="3"/>
      <c r="D202" s="3"/>
      <c r="E202" s="3"/>
      <c r="F202" s="3"/>
      <c r="G202" s="3"/>
      <c r="H202" s="3"/>
    </row>
    <row r="203" spans="1:8" x14ac:dyDescent="0.3">
      <c r="A203" s="3"/>
      <c r="B203" s="3"/>
      <c r="C203" s="3"/>
      <c r="D203" s="3"/>
      <c r="E203" s="3"/>
      <c r="F203" s="3"/>
      <c r="G203" s="3"/>
      <c r="H203" s="3"/>
    </row>
    <row r="204" spans="1:8" x14ac:dyDescent="0.3">
      <c r="A204" s="3"/>
      <c r="B204" s="3"/>
      <c r="C204" s="3"/>
      <c r="D204" s="3"/>
      <c r="E204" s="3"/>
      <c r="F204" s="3"/>
      <c r="G204" s="3"/>
      <c r="H204" s="3"/>
    </row>
    <row r="205" spans="1:8" x14ac:dyDescent="0.3">
      <c r="A205" s="3"/>
      <c r="B205" s="3"/>
      <c r="C205" s="3"/>
      <c r="D205" s="3"/>
      <c r="E205" s="3"/>
      <c r="F205" s="3"/>
      <c r="G205" s="3"/>
      <c r="H205" s="3"/>
    </row>
    <row r="206" spans="1:8" x14ac:dyDescent="0.3">
      <c r="A206" s="3"/>
      <c r="B206" s="3"/>
      <c r="C206" s="3"/>
      <c r="D206" s="3"/>
      <c r="E206" s="3"/>
      <c r="F206" s="3"/>
      <c r="G206" s="3"/>
      <c r="H206" s="3"/>
    </row>
    <row r="207" spans="1:8" x14ac:dyDescent="0.3">
      <c r="A207" s="3"/>
      <c r="B207" s="3"/>
      <c r="C207" s="3"/>
      <c r="D207" s="3"/>
      <c r="E207" s="3"/>
      <c r="F207" s="3"/>
      <c r="G207" s="3"/>
      <c r="H207" s="3"/>
    </row>
    <row r="208" spans="1:8" x14ac:dyDescent="0.3">
      <c r="A208" s="3"/>
      <c r="B208" s="3"/>
      <c r="C208" s="3"/>
      <c r="D208" s="3"/>
      <c r="E208" s="3"/>
      <c r="F208" s="3"/>
      <c r="G208" s="3"/>
      <c r="H208" s="3"/>
    </row>
    <row r="209" spans="1:8" x14ac:dyDescent="0.3">
      <c r="A209" s="3"/>
      <c r="B209" s="3"/>
      <c r="C209" s="3"/>
      <c r="D209" s="3"/>
      <c r="E209" s="3"/>
      <c r="F209" s="3"/>
      <c r="G209" s="3"/>
      <c r="H209" s="3"/>
    </row>
    <row r="210" spans="1:8" x14ac:dyDescent="0.3">
      <c r="A210" s="3"/>
      <c r="B210" s="3"/>
      <c r="C210" s="3"/>
      <c r="D210" s="3"/>
      <c r="E210" s="3"/>
      <c r="F210" s="3"/>
      <c r="G210" s="3"/>
      <c r="H210" s="3"/>
    </row>
    <row r="211" spans="1:8" x14ac:dyDescent="0.3">
      <c r="A211" s="3"/>
      <c r="B211" s="3"/>
      <c r="C211" s="3"/>
      <c r="D211" s="3"/>
      <c r="E211" s="3"/>
      <c r="F211" s="3"/>
      <c r="G211" s="3"/>
      <c r="H211" s="3"/>
    </row>
    <row r="212" spans="1:8" x14ac:dyDescent="0.3">
      <c r="A212" s="3"/>
      <c r="B212" s="3"/>
      <c r="C212" s="3"/>
      <c r="D212" s="3"/>
      <c r="E212" s="3"/>
      <c r="F212" s="3"/>
      <c r="G212" s="3"/>
      <c r="H212" s="3"/>
    </row>
    <row r="213" spans="1:8" x14ac:dyDescent="0.3">
      <c r="A213" s="3"/>
      <c r="B213" s="3"/>
      <c r="C213" s="3"/>
      <c r="D213" s="3"/>
      <c r="E213" s="3"/>
      <c r="F213" s="3"/>
      <c r="G213" s="3"/>
      <c r="H213" s="3"/>
    </row>
    <row r="214" spans="1:8" x14ac:dyDescent="0.3">
      <c r="A214" s="3"/>
      <c r="B214" s="3"/>
      <c r="C214" s="3"/>
      <c r="D214" s="3"/>
      <c r="E214" s="3"/>
      <c r="F214" s="3"/>
      <c r="G214" s="3"/>
      <c r="H214" s="3"/>
    </row>
    <row r="215" spans="1:8" x14ac:dyDescent="0.3">
      <c r="A215" s="3"/>
      <c r="B215" s="3"/>
      <c r="C215" s="3"/>
      <c r="D215" s="3"/>
      <c r="E215" s="3"/>
      <c r="F215" s="3"/>
      <c r="G215" s="3"/>
      <c r="H215" s="3"/>
    </row>
    <row r="216" spans="1:8" x14ac:dyDescent="0.3">
      <c r="A216" s="3"/>
      <c r="B216" s="3"/>
      <c r="C216" s="3"/>
      <c r="D216" s="3"/>
      <c r="E216" s="3"/>
      <c r="F216" s="3"/>
      <c r="G216" s="3"/>
      <c r="H216" s="3"/>
    </row>
    <row r="217" spans="1:8" x14ac:dyDescent="0.3">
      <c r="A217" s="3"/>
      <c r="B217" s="3"/>
      <c r="C217" s="3"/>
      <c r="D217" s="3"/>
      <c r="E217" s="3"/>
      <c r="F217" s="3"/>
      <c r="G217" s="3"/>
      <c r="H217" s="3"/>
    </row>
    <row r="218" spans="1:8" x14ac:dyDescent="0.3">
      <c r="A218" s="3"/>
      <c r="B218" s="3"/>
      <c r="C218" s="3"/>
      <c r="D218" s="3"/>
      <c r="E218" s="3"/>
      <c r="F218" s="3"/>
      <c r="G218" s="3"/>
      <c r="H218" s="3"/>
    </row>
    <row r="219" spans="1:8" x14ac:dyDescent="0.3">
      <c r="A219" s="3"/>
      <c r="B219" s="3"/>
      <c r="C219" s="3"/>
      <c r="D219" s="3"/>
      <c r="E219" s="3"/>
      <c r="F219" s="3"/>
      <c r="G219" s="3"/>
      <c r="H219" s="3"/>
    </row>
    <row r="220" spans="1:8" x14ac:dyDescent="0.3">
      <c r="A220" s="3"/>
      <c r="B220" s="3"/>
      <c r="C220" s="3"/>
      <c r="D220" s="3"/>
      <c r="E220" s="3"/>
      <c r="F220" s="3"/>
      <c r="G220" s="3"/>
      <c r="H220" s="3"/>
    </row>
    <row r="221" spans="1:8" x14ac:dyDescent="0.3">
      <c r="A221" s="3"/>
      <c r="B221" s="3"/>
      <c r="C221" s="3"/>
      <c r="D221" s="3"/>
      <c r="E221" s="3"/>
      <c r="F221" s="3"/>
      <c r="G221" s="3"/>
      <c r="H221" s="3"/>
    </row>
    <row r="222" spans="1:8" x14ac:dyDescent="0.3">
      <c r="A222" s="3"/>
      <c r="B222" s="3"/>
      <c r="C222" s="3"/>
      <c r="D222" s="3"/>
      <c r="E222" s="3"/>
      <c r="F222" s="3"/>
      <c r="G222" s="3"/>
      <c r="H222" s="3"/>
    </row>
    <row r="223" spans="1:8" x14ac:dyDescent="0.3">
      <c r="A223" s="3"/>
      <c r="B223" s="3"/>
      <c r="C223" s="3"/>
      <c r="D223" s="3"/>
      <c r="E223" s="3"/>
      <c r="F223" s="3"/>
      <c r="G223" s="3"/>
      <c r="H223" s="3"/>
    </row>
    <row r="224" spans="1:8" x14ac:dyDescent="0.3">
      <c r="A224" s="3"/>
      <c r="B224" s="3"/>
      <c r="C224" s="3"/>
      <c r="D224" s="3"/>
      <c r="E224" s="3"/>
      <c r="F224" s="3"/>
      <c r="G224" s="3"/>
      <c r="H224" s="3"/>
    </row>
    <row r="225" spans="1:9" ht="20.25" x14ac:dyDescent="0.3">
      <c r="A225" s="1" t="s">
        <v>19</v>
      </c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3"/>
      <c r="B226" s="3"/>
      <c r="C226" s="3"/>
      <c r="D226" s="3"/>
      <c r="E226" s="3"/>
      <c r="F226" s="3"/>
      <c r="G226" s="3"/>
      <c r="H226" s="3"/>
    </row>
    <row r="227" spans="1:9" ht="49.5" x14ac:dyDescent="0.3">
      <c r="A227" s="4" t="s">
        <v>1</v>
      </c>
      <c r="B227" s="4" t="s">
        <v>2</v>
      </c>
      <c r="C227" s="4" t="s">
        <v>3</v>
      </c>
      <c r="D227" s="5" t="s">
        <v>4</v>
      </c>
      <c r="E227" s="5" t="s">
        <v>5</v>
      </c>
      <c r="F227" s="5" t="s">
        <v>6</v>
      </c>
      <c r="G227" s="5" t="s">
        <v>7</v>
      </c>
      <c r="H227" s="5" t="s">
        <v>8</v>
      </c>
      <c r="I227" s="5" t="s">
        <v>17</v>
      </c>
    </row>
    <row r="228" spans="1:9" x14ac:dyDescent="0.3">
      <c r="A228" s="6"/>
      <c r="B228" s="6"/>
      <c r="C228" s="6"/>
      <c r="D228" s="7">
        <v>46025</v>
      </c>
      <c r="E228" s="7">
        <f>D228</f>
        <v>46025</v>
      </c>
      <c r="F228" s="7">
        <f>E228</f>
        <v>46025</v>
      </c>
      <c r="G228" s="7">
        <f>F228</f>
        <v>46025</v>
      </c>
      <c r="H228" s="7">
        <f>G228</f>
        <v>46025</v>
      </c>
      <c r="I228" s="7">
        <f>H228</f>
        <v>46025</v>
      </c>
    </row>
    <row r="229" spans="1:9" x14ac:dyDescent="0.3">
      <c r="A229" s="8">
        <v>1</v>
      </c>
      <c r="B229" s="9" t="str">
        <f t="shared" ref="B229:B290" si="7">B117</f>
        <v>Siti Rohmah</v>
      </c>
      <c r="C229" s="10">
        <f t="shared" ref="C229:C290" si="8">I117</f>
        <v>13500000</v>
      </c>
      <c r="D229" s="11">
        <f>C229*3%</f>
        <v>405000</v>
      </c>
      <c r="E229" s="11"/>
      <c r="F229" s="11"/>
      <c r="G229" s="11"/>
      <c r="H229" s="11"/>
      <c r="I229" s="11">
        <f>C229+E229-F229+G229-H229</f>
        <v>13500000</v>
      </c>
    </row>
    <row r="230" spans="1:9" x14ac:dyDescent="0.3">
      <c r="A230" s="35">
        <v>2</v>
      </c>
      <c r="B230" s="36" t="str">
        <f t="shared" si="7"/>
        <v>Ali Muttaqin</v>
      </c>
      <c r="C230" s="37">
        <f t="shared" si="8"/>
        <v>4000000</v>
      </c>
      <c r="D230" s="11">
        <f t="shared" ref="D230:D290" si="9">C230*3%</f>
        <v>120000</v>
      </c>
      <c r="E230" s="11"/>
      <c r="F230" s="11"/>
      <c r="G230" s="11"/>
      <c r="H230" s="11"/>
      <c r="I230" s="11">
        <f t="shared" ref="I230:I287" si="10">C230+E230-F230+G230-H230</f>
        <v>4000000</v>
      </c>
    </row>
    <row r="231" spans="1:9" x14ac:dyDescent="0.3">
      <c r="A231" s="35">
        <v>3</v>
      </c>
      <c r="B231" s="36" t="str">
        <f t="shared" si="7"/>
        <v>Amnan</v>
      </c>
      <c r="C231" s="37">
        <f t="shared" si="8"/>
        <v>7900000</v>
      </c>
      <c r="D231" s="11">
        <f t="shared" si="9"/>
        <v>237000</v>
      </c>
      <c r="E231" s="11"/>
      <c r="F231" s="11"/>
      <c r="G231" s="11"/>
      <c r="H231" s="11"/>
      <c r="I231" s="11">
        <f t="shared" si="10"/>
        <v>7900000</v>
      </c>
    </row>
    <row r="232" spans="1:9" x14ac:dyDescent="0.3">
      <c r="A232" s="35">
        <v>4</v>
      </c>
      <c r="B232" s="36" t="str">
        <f t="shared" si="7"/>
        <v>Bambang</v>
      </c>
      <c r="C232" s="37">
        <f t="shared" si="8"/>
        <v>7800000</v>
      </c>
      <c r="D232" s="11">
        <f t="shared" si="9"/>
        <v>234000</v>
      </c>
      <c r="E232" s="11"/>
      <c r="F232" s="11"/>
      <c r="G232" s="11">
        <v>234000</v>
      </c>
      <c r="H232" s="11"/>
      <c r="I232" s="11">
        <f t="shared" si="10"/>
        <v>8034000</v>
      </c>
    </row>
    <row r="233" spans="1:9" x14ac:dyDescent="0.3">
      <c r="A233" s="35">
        <v>5</v>
      </c>
      <c r="B233" s="36" t="str">
        <f t="shared" si="7"/>
        <v>Erham</v>
      </c>
      <c r="C233" s="37">
        <f t="shared" si="8"/>
        <v>5300000</v>
      </c>
      <c r="D233" s="11">
        <f t="shared" si="9"/>
        <v>159000</v>
      </c>
      <c r="E233" s="11"/>
      <c r="F233" s="11"/>
      <c r="G233" s="11"/>
      <c r="H233" s="11"/>
      <c r="I233" s="11">
        <f t="shared" si="10"/>
        <v>5300000</v>
      </c>
    </row>
    <row r="234" spans="1:9" x14ac:dyDescent="0.3">
      <c r="A234" s="35">
        <v>6</v>
      </c>
      <c r="B234" s="36" t="str">
        <f t="shared" si="7"/>
        <v>Estuningati</v>
      </c>
      <c r="C234" s="37">
        <f t="shared" si="8"/>
        <v>4000000</v>
      </c>
      <c r="D234" s="11">
        <f t="shared" si="9"/>
        <v>120000</v>
      </c>
      <c r="E234" s="11"/>
      <c r="F234" s="11"/>
      <c r="G234" s="11"/>
      <c r="H234" s="11"/>
      <c r="I234" s="11">
        <f t="shared" si="10"/>
        <v>4000000</v>
      </c>
    </row>
    <row r="235" spans="1:9" x14ac:dyDescent="0.3">
      <c r="A235" s="35">
        <v>7</v>
      </c>
      <c r="B235" s="36" t="str">
        <f t="shared" si="7"/>
        <v>Faisal (Subarin)</v>
      </c>
      <c r="C235" s="37">
        <f t="shared" si="8"/>
        <v>4000000</v>
      </c>
      <c r="D235" s="11">
        <v>120000</v>
      </c>
      <c r="E235" s="11"/>
      <c r="F235" s="11"/>
      <c r="G235" s="11"/>
      <c r="H235" s="11"/>
      <c r="I235" s="11">
        <f>C235-G235</f>
        <v>4000000</v>
      </c>
    </row>
    <row r="236" spans="1:9" x14ac:dyDescent="0.3">
      <c r="A236" s="35">
        <v>8</v>
      </c>
      <c r="B236" s="36" t="str">
        <f t="shared" si="7"/>
        <v>Hj. Nur Fadhilah</v>
      </c>
      <c r="C236" s="37">
        <f t="shared" si="8"/>
        <v>2000000</v>
      </c>
      <c r="D236" s="11">
        <f t="shared" si="9"/>
        <v>60000</v>
      </c>
      <c r="E236" s="11"/>
      <c r="F236" s="11"/>
      <c r="G236" s="11"/>
      <c r="H236" s="11"/>
      <c r="I236" s="11">
        <f t="shared" si="10"/>
        <v>2000000</v>
      </c>
    </row>
    <row r="237" spans="1:9" x14ac:dyDescent="0.3">
      <c r="A237" s="35">
        <v>9</v>
      </c>
      <c r="B237" s="36" t="str">
        <f t="shared" si="7"/>
        <v>Hanafi</v>
      </c>
      <c r="C237" s="37">
        <f t="shared" si="8"/>
        <v>1000000</v>
      </c>
      <c r="D237" s="11">
        <f t="shared" si="9"/>
        <v>30000</v>
      </c>
      <c r="E237" s="11"/>
      <c r="F237" s="11"/>
      <c r="G237" s="11"/>
      <c r="H237" s="11"/>
      <c r="I237" s="11">
        <f t="shared" si="10"/>
        <v>1000000</v>
      </c>
    </row>
    <row r="238" spans="1:9" x14ac:dyDescent="0.3">
      <c r="A238" s="35">
        <v>10</v>
      </c>
      <c r="B238" s="36" t="str">
        <f t="shared" si="7"/>
        <v>Hidayat</v>
      </c>
      <c r="C238" s="37">
        <f t="shared" si="8"/>
        <v>1500000</v>
      </c>
      <c r="D238" s="11">
        <f t="shared" si="9"/>
        <v>45000</v>
      </c>
      <c r="E238" s="11"/>
      <c r="F238" s="11"/>
      <c r="G238" s="11">
        <v>500000</v>
      </c>
      <c r="H238" s="11"/>
      <c r="I238" s="11">
        <f t="shared" si="10"/>
        <v>2000000</v>
      </c>
    </row>
    <row r="239" spans="1:9" x14ac:dyDescent="0.3">
      <c r="A239" s="35">
        <v>11</v>
      </c>
      <c r="B239" s="36" t="str">
        <f t="shared" si="7"/>
        <v>Ika Tartila</v>
      </c>
      <c r="C239" s="37">
        <f t="shared" si="8"/>
        <v>3399000</v>
      </c>
      <c r="D239" s="11">
        <f t="shared" si="9"/>
        <v>101970</v>
      </c>
      <c r="E239" s="11"/>
      <c r="F239" s="11"/>
      <c r="G239" s="11"/>
      <c r="H239" s="11">
        <v>99000</v>
      </c>
      <c r="I239" s="11">
        <f t="shared" si="10"/>
        <v>3300000</v>
      </c>
    </row>
    <row r="240" spans="1:9" x14ac:dyDescent="0.3">
      <c r="A240" s="35">
        <v>12</v>
      </c>
      <c r="B240" s="36" t="str">
        <f t="shared" si="7"/>
        <v>Jumiah 2</v>
      </c>
      <c r="C240" s="37">
        <f t="shared" si="8"/>
        <v>2000000</v>
      </c>
      <c r="D240" s="11">
        <f t="shared" si="9"/>
        <v>60000</v>
      </c>
      <c r="E240" s="11"/>
      <c r="F240" s="11"/>
      <c r="G240" s="11"/>
      <c r="H240" s="11"/>
      <c r="I240" s="11">
        <f t="shared" si="10"/>
        <v>2000000</v>
      </c>
    </row>
    <row r="241" spans="1:9" x14ac:dyDescent="0.3">
      <c r="A241" s="35">
        <v>13</v>
      </c>
      <c r="B241" s="36" t="str">
        <f t="shared" si="7"/>
        <v>Kamari</v>
      </c>
      <c r="C241" s="37">
        <f t="shared" si="8"/>
        <v>7100000</v>
      </c>
      <c r="D241" s="11">
        <f t="shared" si="9"/>
        <v>213000</v>
      </c>
      <c r="E241" s="11"/>
      <c r="F241" s="11"/>
      <c r="G241" s="11"/>
      <c r="H241" s="11"/>
      <c r="I241" s="11">
        <f t="shared" si="10"/>
        <v>7100000</v>
      </c>
    </row>
    <row r="242" spans="1:9" x14ac:dyDescent="0.3">
      <c r="A242" s="35">
        <v>14</v>
      </c>
      <c r="B242" s="36" t="str">
        <f t="shared" si="7"/>
        <v xml:space="preserve">Kolidi </v>
      </c>
      <c r="C242" s="37">
        <f t="shared" si="8"/>
        <v>2500000</v>
      </c>
      <c r="D242" s="11">
        <f t="shared" si="9"/>
        <v>75000</v>
      </c>
      <c r="E242" s="11"/>
      <c r="F242" s="11"/>
      <c r="G242" s="11"/>
      <c r="H242" s="11"/>
      <c r="I242" s="11">
        <f t="shared" si="10"/>
        <v>2500000</v>
      </c>
    </row>
    <row r="243" spans="1:9" x14ac:dyDescent="0.3">
      <c r="A243" s="35">
        <v>15</v>
      </c>
      <c r="B243" s="36" t="str">
        <f t="shared" si="7"/>
        <v>Kuspandi</v>
      </c>
      <c r="C243" s="37">
        <f t="shared" si="8"/>
        <v>1545000</v>
      </c>
      <c r="D243" s="11">
        <f t="shared" si="9"/>
        <v>46350</v>
      </c>
      <c r="E243" s="11"/>
      <c r="F243" s="11"/>
      <c r="G243" s="11"/>
      <c r="H243" s="11"/>
      <c r="I243" s="11">
        <f t="shared" si="10"/>
        <v>1545000</v>
      </c>
    </row>
    <row r="244" spans="1:9" x14ac:dyDescent="0.3">
      <c r="A244" s="35">
        <v>16</v>
      </c>
      <c r="B244" s="36" t="str">
        <f t="shared" si="7"/>
        <v>Malikan</v>
      </c>
      <c r="C244" s="37">
        <f t="shared" si="8"/>
        <v>500000</v>
      </c>
      <c r="D244" s="11">
        <f t="shared" si="9"/>
        <v>15000</v>
      </c>
      <c r="E244" s="11"/>
      <c r="F244" s="11"/>
      <c r="G244" s="11"/>
      <c r="H244" s="11"/>
      <c r="I244" s="11">
        <f t="shared" si="10"/>
        <v>500000</v>
      </c>
    </row>
    <row r="245" spans="1:9" x14ac:dyDescent="0.3">
      <c r="A245" s="35">
        <v>17</v>
      </c>
      <c r="B245" s="36" t="str">
        <f t="shared" si="7"/>
        <v xml:space="preserve">Mardiyah </v>
      </c>
      <c r="C245" s="37">
        <f t="shared" si="8"/>
        <v>11000000</v>
      </c>
      <c r="D245" s="11">
        <f t="shared" si="9"/>
        <v>330000</v>
      </c>
      <c r="E245" s="11"/>
      <c r="F245" s="11"/>
      <c r="G245" s="11"/>
      <c r="H245" s="11"/>
      <c r="I245" s="11">
        <f t="shared" si="10"/>
        <v>11000000</v>
      </c>
    </row>
    <row r="246" spans="1:9" x14ac:dyDescent="0.3">
      <c r="A246" s="35">
        <v>18</v>
      </c>
      <c r="B246" s="36" t="str">
        <f t="shared" si="7"/>
        <v>Matakrip</v>
      </c>
      <c r="C246" s="37">
        <f t="shared" si="8"/>
        <v>1700000</v>
      </c>
      <c r="D246" s="11">
        <f t="shared" si="9"/>
        <v>51000</v>
      </c>
      <c r="E246" s="11"/>
      <c r="F246" s="11"/>
      <c r="G246" s="11">
        <v>300000</v>
      </c>
      <c r="H246" s="11"/>
      <c r="I246" s="11">
        <f t="shared" si="10"/>
        <v>2000000</v>
      </c>
    </row>
    <row r="247" spans="1:9" x14ac:dyDescent="0.3">
      <c r="A247" s="35">
        <v>19</v>
      </c>
      <c r="B247" s="36" t="str">
        <f t="shared" si="7"/>
        <v>Isti Umami</v>
      </c>
      <c r="C247" s="37">
        <f t="shared" si="8"/>
        <v>3900000</v>
      </c>
      <c r="D247" s="11">
        <f t="shared" si="9"/>
        <v>117000</v>
      </c>
      <c r="E247" s="11"/>
      <c r="F247" s="11"/>
      <c r="G247" s="11"/>
      <c r="H247" s="11"/>
      <c r="I247" s="11">
        <f t="shared" si="10"/>
        <v>3900000</v>
      </c>
    </row>
    <row r="248" spans="1:9" x14ac:dyDescent="0.3">
      <c r="A248" s="35">
        <v>20</v>
      </c>
      <c r="B248" s="36" t="str">
        <f t="shared" si="7"/>
        <v>Mathoha</v>
      </c>
      <c r="C248" s="37">
        <f t="shared" si="8"/>
        <v>3605000</v>
      </c>
      <c r="D248" s="11">
        <f t="shared" si="9"/>
        <v>108150</v>
      </c>
      <c r="E248" s="11"/>
      <c r="F248" s="11"/>
      <c r="G248" s="11"/>
      <c r="H248" s="11">
        <v>105000</v>
      </c>
      <c r="I248" s="11">
        <f t="shared" si="10"/>
        <v>3500000</v>
      </c>
    </row>
    <row r="249" spans="1:9" x14ac:dyDescent="0.3">
      <c r="A249" s="35">
        <v>21</v>
      </c>
      <c r="B249" s="36" t="str">
        <f t="shared" si="7"/>
        <v>Matkasan</v>
      </c>
      <c r="C249" s="37">
        <f t="shared" si="8"/>
        <v>1000000</v>
      </c>
      <c r="D249" s="11">
        <f t="shared" si="9"/>
        <v>30000</v>
      </c>
      <c r="E249" s="11"/>
      <c r="F249" s="11"/>
      <c r="G249" s="11"/>
      <c r="H249" s="11"/>
      <c r="I249" s="11">
        <f t="shared" si="10"/>
        <v>1000000</v>
      </c>
    </row>
    <row r="250" spans="1:9" x14ac:dyDescent="0.3">
      <c r="A250" s="35">
        <v>22</v>
      </c>
      <c r="B250" s="36" t="str">
        <f t="shared" si="7"/>
        <v>Umi Nadhiroh</v>
      </c>
      <c r="C250" s="37">
        <f t="shared" si="8"/>
        <v>3000000</v>
      </c>
      <c r="D250" s="11">
        <f t="shared" si="9"/>
        <v>90000</v>
      </c>
      <c r="E250" s="11"/>
      <c r="F250" s="11"/>
      <c r="G250" s="11">
        <v>1000000</v>
      </c>
      <c r="H250" s="11"/>
      <c r="I250" s="11">
        <f t="shared" si="10"/>
        <v>4000000</v>
      </c>
    </row>
    <row r="251" spans="1:9" x14ac:dyDescent="0.3">
      <c r="A251" s="35">
        <v>23</v>
      </c>
      <c r="B251" s="36" t="str">
        <f t="shared" si="7"/>
        <v>Mi'an</v>
      </c>
      <c r="C251" s="37">
        <f t="shared" si="8"/>
        <v>5700000</v>
      </c>
      <c r="D251" s="11">
        <f t="shared" si="9"/>
        <v>171000</v>
      </c>
      <c r="E251" s="11"/>
      <c r="F251" s="11"/>
      <c r="G251" s="11"/>
      <c r="H251" s="11"/>
      <c r="I251" s="11">
        <f t="shared" si="10"/>
        <v>5700000</v>
      </c>
    </row>
    <row r="252" spans="1:9" x14ac:dyDescent="0.3">
      <c r="A252" s="35">
        <v>24</v>
      </c>
      <c r="B252" s="36" t="str">
        <f t="shared" si="7"/>
        <v>Mu'minin</v>
      </c>
      <c r="C252" s="37">
        <f t="shared" si="8"/>
        <v>4000000</v>
      </c>
      <c r="D252" s="11">
        <v>242000</v>
      </c>
      <c r="E252" s="11"/>
      <c r="F252" s="11"/>
      <c r="G252" s="11"/>
      <c r="H252" s="11"/>
      <c r="I252" s="11">
        <f>C252-G252</f>
        <v>4000000</v>
      </c>
    </row>
    <row r="253" spans="1:9" x14ac:dyDescent="0.3">
      <c r="A253" s="35">
        <v>25</v>
      </c>
      <c r="B253" s="36" t="str">
        <f t="shared" si="7"/>
        <v>Munawar</v>
      </c>
      <c r="C253" s="37">
        <f t="shared" si="8"/>
        <v>3300000</v>
      </c>
      <c r="D253" s="11">
        <f t="shared" si="9"/>
        <v>99000</v>
      </c>
      <c r="E253" s="11"/>
      <c r="F253" s="11"/>
      <c r="G253" s="11">
        <v>99000</v>
      </c>
      <c r="H253" s="11"/>
      <c r="I253" s="11">
        <f t="shared" si="10"/>
        <v>3399000</v>
      </c>
    </row>
    <row r="254" spans="1:9" x14ac:dyDescent="0.3">
      <c r="A254" s="35">
        <v>26</v>
      </c>
      <c r="B254" s="36" t="str">
        <f t="shared" si="7"/>
        <v>Muslikatin</v>
      </c>
      <c r="C254" s="37">
        <f t="shared" si="8"/>
        <v>1000000</v>
      </c>
      <c r="D254" s="11">
        <f t="shared" si="9"/>
        <v>30000</v>
      </c>
      <c r="E254" s="11"/>
      <c r="F254" s="11"/>
      <c r="G254" s="11"/>
      <c r="H254" s="11"/>
      <c r="I254" s="11">
        <f t="shared" si="10"/>
        <v>1000000</v>
      </c>
    </row>
    <row r="255" spans="1:9" x14ac:dyDescent="0.3">
      <c r="A255" s="35">
        <v>27</v>
      </c>
      <c r="B255" s="36" t="str">
        <f t="shared" si="7"/>
        <v>Nurhadi</v>
      </c>
      <c r="C255" s="37">
        <f t="shared" si="8"/>
        <v>2000000</v>
      </c>
      <c r="D255" s="11">
        <f t="shared" si="9"/>
        <v>60000</v>
      </c>
      <c r="E255" s="11"/>
      <c r="F255" s="11"/>
      <c r="G255" s="11"/>
      <c r="H255" s="11"/>
      <c r="I255" s="11">
        <f t="shared" si="10"/>
        <v>2000000</v>
      </c>
    </row>
    <row r="256" spans="1:9" x14ac:dyDescent="0.3">
      <c r="A256" s="35">
        <v>28</v>
      </c>
      <c r="B256" s="36" t="str">
        <f t="shared" si="7"/>
        <v>Siti Nurmahmudah</v>
      </c>
      <c r="C256" s="37">
        <f t="shared" si="8"/>
        <v>6500000</v>
      </c>
      <c r="D256" s="11">
        <f t="shared" si="9"/>
        <v>195000</v>
      </c>
      <c r="E256" s="11"/>
      <c r="F256" s="11"/>
      <c r="G256" s="11">
        <v>500000</v>
      </c>
      <c r="H256" s="11"/>
      <c r="I256" s="11">
        <f t="shared" si="10"/>
        <v>7000000</v>
      </c>
    </row>
    <row r="257" spans="1:9" x14ac:dyDescent="0.3">
      <c r="A257" s="35">
        <v>29</v>
      </c>
      <c r="B257" s="36" t="str">
        <f t="shared" si="7"/>
        <v>Saeman</v>
      </c>
      <c r="C257" s="37">
        <f t="shared" si="8"/>
        <v>7000000</v>
      </c>
      <c r="D257" s="11">
        <f t="shared" si="9"/>
        <v>210000</v>
      </c>
      <c r="E257" s="11"/>
      <c r="F257" s="11"/>
      <c r="G257" s="11"/>
      <c r="H257" s="11"/>
      <c r="I257" s="11">
        <f t="shared" si="10"/>
        <v>7000000</v>
      </c>
    </row>
    <row r="258" spans="1:9" x14ac:dyDescent="0.3">
      <c r="A258" s="35">
        <v>30</v>
      </c>
      <c r="B258" s="36" t="str">
        <f t="shared" si="7"/>
        <v>Sarto</v>
      </c>
      <c r="C258" s="37">
        <f t="shared" si="8"/>
        <v>2000000</v>
      </c>
      <c r="D258" s="11">
        <f t="shared" si="9"/>
        <v>60000</v>
      </c>
      <c r="E258" s="11"/>
      <c r="F258" s="11"/>
      <c r="G258" s="11"/>
      <c r="H258" s="11"/>
      <c r="I258" s="11">
        <f t="shared" si="10"/>
        <v>2000000</v>
      </c>
    </row>
    <row r="259" spans="1:9" x14ac:dyDescent="0.3">
      <c r="A259" s="35">
        <v>31</v>
      </c>
      <c r="B259" s="36" t="str">
        <f t="shared" si="7"/>
        <v>Sholik 9</v>
      </c>
      <c r="C259" s="37">
        <f t="shared" si="8"/>
        <v>20687550</v>
      </c>
      <c r="D259" s="11">
        <f t="shared" si="9"/>
        <v>620626.5</v>
      </c>
      <c r="E259" s="11"/>
      <c r="F259" s="11"/>
      <c r="G259" s="11">
        <v>620627</v>
      </c>
      <c r="H259" s="11"/>
      <c r="I259" s="11">
        <f t="shared" si="10"/>
        <v>21308177</v>
      </c>
    </row>
    <row r="260" spans="1:9" x14ac:dyDescent="0.3">
      <c r="A260" s="35">
        <v>32</v>
      </c>
      <c r="B260" s="36" t="str">
        <f t="shared" si="7"/>
        <v>Siono</v>
      </c>
      <c r="C260" s="37">
        <f t="shared" si="8"/>
        <v>6000000</v>
      </c>
      <c r="D260" s="11">
        <f t="shared" si="9"/>
        <v>180000</v>
      </c>
      <c r="E260" s="11"/>
      <c r="F260" s="11"/>
      <c r="G260" s="11">
        <v>180000</v>
      </c>
      <c r="H260" s="11"/>
      <c r="I260" s="11">
        <f t="shared" si="10"/>
        <v>6180000</v>
      </c>
    </row>
    <row r="261" spans="1:9" x14ac:dyDescent="0.3">
      <c r="A261" s="35">
        <v>33</v>
      </c>
      <c r="B261" s="36" t="str">
        <f t="shared" si="7"/>
        <v>Sumadi</v>
      </c>
      <c r="C261" s="37">
        <f t="shared" si="8"/>
        <v>6500000</v>
      </c>
      <c r="D261" s="11">
        <f t="shared" si="9"/>
        <v>195000</v>
      </c>
      <c r="E261" s="11"/>
      <c r="F261" s="11"/>
      <c r="G261" s="11">
        <v>1000000</v>
      </c>
      <c r="H261" s="11"/>
      <c r="I261" s="11">
        <f t="shared" si="10"/>
        <v>7500000</v>
      </c>
    </row>
    <row r="262" spans="1:9" x14ac:dyDescent="0.3">
      <c r="A262" s="35">
        <v>34</v>
      </c>
      <c r="B262" s="36" t="str">
        <f t="shared" si="7"/>
        <v>Sumar</v>
      </c>
      <c r="C262" s="37">
        <f t="shared" si="8"/>
        <v>4500000</v>
      </c>
      <c r="D262" s="11">
        <f t="shared" si="9"/>
        <v>135000</v>
      </c>
      <c r="E262" s="11"/>
      <c r="F262" s="11"/>
      <c r="G262" s="11"/>
      <c r="H262" s="11"/>
      <c r="I262" s="11">
        <f t="shared" si="10"/>
        <v>4500000</v>
      </c>
    </row>
    <row r="263" spans="1:9" x14ac:dyDescent="0.3">
      <c r="A263" s="35">
        <v>35</v>
      </c>
      <c r="B263" s="36" t="str">
        <f t="shared" si="7"/>
        <v>Sunamah</v>
      </c>
      <c r="C263" s="37">
        <f t="shared" si="8"/>
        <v>6500000</v>
      </c>
      <c r="D263" s="11">
        <f t="shared" si="9"/>
        <v>195000</v>
      </c>
      <c r="E263" s="11"/>
      <c r="F263" s="11"/>
      <c r="G263" s="11">
        <v>500000</v>
      </c>
      <c r="H263" s="11"/>
      <c r="I263" s="11">
        <f t="shared" si="10"/>
        <v>7000000</v>
      </c>
    </row>
    <row r="264" spans="1:9" x14ac:dyDescent="0.3">
      <c r="A264" s="35">
        <v>36</v>
      </c>
      <c r="B264" s="36" t="str">
        <f t="shared" si="7"/>
        <v>Supiani</v>
      </c>
      <c r="C264" s="37">
        <f t="shared" si="8"/>
        <v>2000000</v>
      </c>
      <c r="D264" s="11">
        <f t="shared" si="9"/>
        <v>60000</v>
      </c>
      <c r="E264" s="11"/>
      <c r="F264" s="11"/>
      <c r="G264" s="11"/>
      <c r="H264" s="11"/>
      <c r="I264" s="11">
        <f t="shared" si="10"/>
        <v>2000000</v>
      </c>
    </row>
    <row r="265" spans="1:9" x14ac:dyDescent="0.3">
      <c r="A265" s="35">
        <v>37</v>
      </c>
      <c r="B265" s="36" t="str">
        <f t="shared" si="7"/>
        <v>Supriaji</v>
      </c>
      <c r="C265" s="37">
        <f t="shared" si="8"/>
        <v>12360000</v>
      </c>
      <c r="D265" s="11">
        <f t="shared" si="9"/>
        <v>370800</v>
      </c>
      <c r="E265" s="11"/>
      <c r="F265" s="11"/>
      <c r="G265" s="11"/>
      <c r="H265" s="11"/>
      <c r="I265" s="11">
        <f t="shared" si="10"/>
        <v>12360000</v>
      </c>
    </row>
    <row r="266" spans="1:9" x14ac:dyDescent="0.3">
      <c r="A266" s="35">
        <v>38</v>
      </c>
      <c r="B266" s="36" t="str">
        <f t="shared" si="7"/>
        <v>Suwanan/Iksan</v>
      </c>
      <c r="C266" s="37">
        <f t="shared" si="8"/>
        <v>5000000</v>
      </c>
      <c r="D266" s="11">
        <f t="shared" si="9"/>
        <v>150000</v>
      </c>
      <c r="E266" s="11"/>
      <c r="F266" s="11"/>
      <c r="G266" s="11"/>
      <c r="H266" s="11"/>
      <c r="I266" s="11">
        <f t="shared" si="10"/>
        <v>5000000</v>
      </c>
    </row>
    <row r="267" spans="1:9" x14ac:dyDescent="0.3">
      <c r="A267" s="35">
        <v>39</v>
      </c>
      <c r="B267" s="36" t="str">
        <f t="shared" si="7"/>
        <v>Suwari</v>
      </c>
      <c r="C267" s="37">
        <f t="shared" si="8"/>
        <v>1030000</v>
      </c>
      <c r="D267" s="11">
        <f t="shared" si="9"/>
        <v>30900</v>
      </c>
      <c r="E267" s="11"/>
      <c r="F267" s="11"/>
      <c r="G267" s="11"/>
      <c r="H267" s="11"/>
      <c r="I267" s="11">
        <f t="shared" si="10"/>
        <v>1030000</v>
      </c>
    </row>
    <row r="268" spans="1:9" x14ac:dyDescent="0.3">
      <c r="A268" s="35">
        <v>40</v>
      </c>
      <c r="B268" s="36" t="str">
        <f t="shared" si="7"/>
        <v>Suyono 2</v>
      </c>
      <c r="C268" s="37">
        <f t="shared" si="8"/>
        <v>8500000</v>
      </c>
      <c r="D268" s="11">
        <f t="shared" si="9"/>
        <v>255000</v>
      </c>
      <c r="E268" s="11"/>
      <c r="F268" s="11"/>
      <c r="G268" s="11"/>
      <c r="H268" s="11"/>
      <c r="I268" s="11">
        <f>C268-G268</f>
        <v>8500000</v>
      </c>
    </row>
    <row r="269" spans="1:9" x14ac:dyDescent="0.3">
      <c r="A269" s="35">
        <v>41</v>
      </c>
      <c r="B269" s="36" t="str">
        <f t="shared" si="7"/>
        <v>Tisno</v>
      </c>
      <c r="C269" s="37">
        <f t="shared" si="8"/>
        <v>2000000</v>
      </c>
      <c r="D269" s="11">
        <f t="shared" si="9"/>
        <v>60000</v>
      </c>
      <c r="E269" s="11"/>
      <c r="F269" s="11"/>
      <c r="G269" s="11"/>
      <c r="H269" s="11"/>
      <c r="I269" s="11">
        <f t="shared" si="10"/>
        <v>2000000</v>
      </c>
    </row>
    <row r="270" spans="1:9" x14ac:dyDescent="0.3">
      <c r="A270" s="35">
        <v>42</v>
      </c>
      <c r="B270" s="36" t="str">
        <f t="shared" si="7"/>
        <v>Umi Kulsum</v>
      </c>
      <c r="C270" s="37">
        <f t="shared" si="8"/>
        <v>4000000</v>
      </c>
      <c r="D270" s="11">
        <f t="shared" si="9"/>
        <v>120000</v>
      </c>
      <c r="E270" s="38"/>
      <c r="F270" s="38"/>
      <c r="G270" s="38"/>
      <c r="H270" s="11"/>
      <c r="I270" s="11">
        <f t="shared" si="10"/>
        <v>4000000</v>
      </c>
    </row>
    <row r="271" spans="1:9" x14ac:dyDescent="0.3">
      <c r="A271" s="35">
        <v>43</v>
      </c>
      <c r="B271" s="36" t="str">
        <f t="shared" si="7"/>
        <v>Rofiq</v>
      </c>
      <c r="C271" s="37">
        <f t="shared" si="8"/>
        <v>1500000</v>
      </c>
      <c r="D271" s="11">
        <f t="shared" si="9"/>
        <v>45000</v>
      </c>
      <c r="E271" s="38"/>
      <c r="F271" s="38"/>
      <c r="G271" s="38">
        <v>1500000</v>
      </c>
      <c r="H271" s="11"/>
      <c r="I271" s="11">
        <f t="shared" si="10"/>
        <v>3000000</v>
      </c>
    </row>
    <row r="272" spans="1:9" x14ac:dyDescent="0.3">
      <c r="A272" s="35">
        <v>44</v>
      </c>
      <c r="B272" s="36" t="str">
        <f t="shared" si="7"/>
        <v>Zumaroh</v>
      </c>
      <c r="C272" s="37">
        <f t="shared" si="8"/>
        <v>3000000</v>
      </c>
      <c r="D272" s="11">
        <f t="shared" si="9"/>
        <v>90000</v>
      </c>
      <c r="E272" s="38"/>
      <c r="F272" s="38"/>
      <c r="G272" s="38"/>
      <c r="H272" s="11"/>
      <c r="I272" s="11">
        <f t="shared" si="10"/>
        <v>3000000</v>
      </c>
    </row>
    <row r="273" spans="1:9" x14ac:dyDescent="0.3">
      <c r="A273" s="35">
        <v>45</v>
      </c>
      <c r="B273" s="36" t="str">
        <f t="shared" si="7"/>
        <v>Ning Husniah</v>
      </c>
      <c r="C273" s="37">
        <f t="shared" si="8"/>
        <v>1000000</v>
      </c>
      <c r="D273" s="11">
        <f t="shared" si="9"/>
        <v>30000</v>
      </c>
      <c r="E273" s="11"/>
      <c r="F273" s="11"/>
      <c r="G273" s="11"/>
      <c r="H273" s="11"/>
      <c r="I273" s="11">
        <f t="shared" si="10"/>
        <v>1000000</v>
      </c>
    </row>
    <row r="274" spans="1:9" x14ac:dyDescent="0.3">
      <c r="A274" s="39">
        <v>46</v>
      </c>
      <c r="B274" s="36" t="str">
        <f t="shared" si="7"/>
        <v>Lu'luur R</v>
      </c>
      <c r="C274" s="37">
        <f t="shared" si="8"/>
        <v>7000000</v>
      </c>
      <c r="D274" s="40">
        <f t="shared" si="9"/>
        <v>210000</v>
      </c>
      <c r="E274" s="41"/>
      <c r="F274" s="41"/>
      <c r="G274" s="41"/>
      <c r="H274" s="40"/>
      <c r="I274" s="11">
        <f t="shared" si="10"/>
        <v>7000000</v>
      </c>
    </row>
    <row r="275" spans="1:9" x14ac:dyDescent="0.3">
      <c r="A275" s="35">
        <v>47</v>
      </c>
      <c r="B275" s="36" t="str">
        <f t="shared" si="7"/>
        <v>Umar</v>
      </c>
      <c r="C275" s="37">
        <f t="shared" si="8"/>
        <v>1500000</v>
      </c>
      <c r="D275" s="11">
        <f t="shared" si="9"/>
        <v>45000</v>
      </c>
      <c r="E275" s="38"/>
      <c r="F275" s="38"/>
      <c r="G275" s="38"/>
      <c r="H275" s="11"/>
      <c r="I275" s="11">
        <f t="shared" si="10"/>
        <v>1500000</v>
      </c>
    </row>
    <row r="276" spans="1:9" x14ac:dyDescent="0.3">
      <c r="A276" s="35">
        <v>48</v>
      </c>
      <c r="B276" s="36" t="str">
        <f t="shared" si="7"/>
        <v>Ana/Bu Khoiri</v>
      </c>
      <c r="C276" s="37">
        <f t="shared" si="8"/>
        <v>1091800</v>
      </c>
      <c r="D276" s="11">
        <f t="shared" si="9"/>
        <v>32754</v>
      </c>
      <c r="E276" s="11"/>
      <c r="F276" s="11"/>
      <c r="G276" s="11">
        <v>32754</v>
      </c>
      <c r="H276" s="11"/>
      <c r="I276" s="11">
        <f t="shared" si="10"/>
        <v>1124554</v>
      </c>
    </row>
    <row r="277" spans="1:9" x14ac:dyDescent="0.3">
      <c r="A277" s="35">
        <v>49</v>
      </c>
      <c r="B277" s="36" t="str">
        <f t="shared" si="7"/>
        <v>Anik Mahsunah W</v>
      </c>
      <c r="C277" s="37">
        <f t="shared" si="8"/>
        <v>1000000</v>
      </c>
      <c r="D277" s="11">
        <f t="shared" si="9"/>
        <v>30000</v>
      </c>
      <c r="E277" s="11"/>
      <c r="F277" s="11"/>
      <c r="G277" s="11"/>
      <c r="H277" s="11"/>
      <c r="I277" s="11">
        <f t="shared" si="10"/>
        <v>1000000</v>
      </c>
    </row>
    <row r="278" spans="1:9" x14ac:dyDescent="0.3">
      <c r="A278" s="35">
        <v>50</v>
      </c>
      <c r="B278" s="36" t="str">
        <f t="shared" si="7"/>
        <v>Fajrul Ummah</v>
      </c>
      <c r="C278" s="37">
        <f t="shared" si="8"/>
        <v>17504850</v>
      </c>
      <c r="D278" s="11">
        <f t="shared" si="9"/>
        <v>525145.5</v>
      </c>
      <c r="E278" s="11"/>
      <c r="F278" s="11"/>
      <c r="G278" s="11">
        <v>525146</v>
      </c>
      <c r="H278" s="11"/>
      <c r="I278" s="11">
        <f>C278-F278</f>
        <v>17504850</v>
      </c>
    </row>
    <row r="279" spans="1:9" x14ac:dyDescent="0.3">
      <c r="A279" s="35">
        <v>51</v>
      </c>
      <c r="B279" s="36" t="str">
        <f t="shared" si="7"/>
        <v>Imam Masrodin</v>
      </c>
      <c r="C279" s="37">
        <f t="shared" si="8"/>
        <v>500000</v>
      </c>
      <c r="D279" s="11">
        <f t="shared" si="9"/>
        <v>15000</v>
      </c>
      <c r="E279" s="11"/>
      <c r="F279" s="11"/>
      <c r="G279" s="11"/>
      <c r="H279" s="11"/>
      <c r="I279" s="11">
        <f t="shared" si="10"/>
        <v>500000</v>
      </c>
    </row>
    <row r="280" spans="1:9" x14ac:dyDescent="0.3">
      <c r="A280" s="35">
        <v>52</v>
      </c>
      <c r="B280" s="36" t="str">
        <f t="shared" si="7"/>
        <v>Muayanah</v>
      </c>
      <c r="C280" s="37">
        <f t="shared" si="8"/>
        <v>8300000</v>
      </c>
      <c r="D280" s="11">
        <f t="shared" si="9"/>
        <v>249000</v>
      </c>
      <c r="E280" s="38"/>
      <c r="F280" s="38"/>
      <c r="G280" s="38">
        <v>500000</v>
      </c>
      <c r="H280" s="11"/>
      <c r="I280" s="11">
        <f t="shared" si="10"/>
        <v>8800000</v>
      </c>
    </row>
    <row r="281" spans="1:9" x14ac:dyDescent="0.3">
      <c r="A281" s="35">
        <v>53</v>
      </c>
      <c r="B281" s="36" t="str">
        <f t="shared" si="7"/>
        <v>Siswanto</v>
      </c>
      <c r="C281" s="37">
        <f t="shared" si="8"/>
        <v>3000000</v>
      </c>
      <c r="D281" s="11">
        <f t="shared" si="9"/>
        <v>90000</v>
      </c>
      <c r="E281" s="38"/>
      <c r="F281" s="38"/>
      <c r="G281" s="38"/>
      <c r="H281" s="11"/>
      <c r="I281" s="11">
        <f t="shared" si="10"/>
        <v>3000000</v>
      </c>
    </row>
    <row r="282" spans="1:9" x14ac:dyDescent="0.3">
      <c r="A282" s="35">
        <v>54</v>
      </c>
      <c r="B282" s="36" t="str">
        <f t="shared" si="7"/>
        <v>Bin Asiyah</v>
      </c>
      <c r="C282" s="37">
        <f t="shared" si="8"/>
        <v>6000000</v>
      </c>
      <c r="D282" s="11">
        <f t="shared" si="9"/>
        <v>180000</v>
      </c>
      <c r="E282" s="38"/>
      <c r="F282" s="38"/>
      <c r="G282" s="38"/>
      <c r="H282" s="11"/>
      <c r="I282" s="11">
        <f t="shared" si="10"/>
        <v>6000000</v>
      </c>
    </row>
    <row r="283" spans="1:9" x14ac:dyDescent="0.3">
      <c r="A283" s="35">
        <v>55</v>
      </c>
      <c r="B283" s="36" t="str">
        <f t="shared" si="7"/>
        <v>Tayem</v>
      </c>
      <c r="C283" s="37">
        <f t="shared" si="8"/>
        <v>14500000</v>
      </c>
      <c r="D283" s="11">
        <f t="shared" si="9"/>
        <v>435000</v>
      </c>
      <c r="E283" s="38"/>
      <c r="F283" s="38"/>
      <c r="G283" s="38"/>
      <c r="H283" s="11"/>
      <c r="I283" s="11">
        <f t="shared" si="10"/>
        <v>14500000</v>
      </c>
    </row>
    <row r="284" spans="1:9" x14ac:dyDescent="0.3">
      <c r="A284" s="35">
        <v>56</v>
      </c>
      <c r="B284" s="36" t="str">
        <f t="shared" si="7"/>
        <v>Sholahuddin Afif</v>
      </c>
      <c r="C284" s="37">
        <f t="shared" si="8"/>
        <v>13000000</v>
      </c>
      <c r="D284" s="11">
        <f t="shared" si="9"/>
        <v>390000</v>
      </c>
      <c r="E284" s="38"/>
      <c r="F284" s="38"/>
      <c r="G284" s="38"/>
      <c r="H284" s="11"/>
      <c r="I284" s="11">
        <f t="shared" si="10"/>
        <v>13000000</v>
      </c>
    </row>
    <row r="285" spans="1:9" x14ac:dyDescent="0.3">
      <c r="A285" s="35">
        <v>57</v>
      </c>
      <c r="B285" s="36" t="str">
        <f t="shared" si="7"/>
        <v>Masithah</v>
      </c>
      <c r="C285" s="37">
        <f t="shared" si="8"/>
        <v>1000000</v>
      </c>
      <c r="D285" s="11">
        <f t="shared" si="9"/>
        <v>30000</v>
      </c>
      <c r="E285" s="38"/>
      <c r="F285" s="38"/>
      <c r="G285" s="38"/>
      <c r="H285" s="38"/>
      <c r="I285" s="11">
        <f t="shared" si="10"/>
        <v>1000000</v>
      </c>
    </row>
    <row r="286" spans="1:9" x14ac:dyDescent="0.3">
      <c r="A286" s="35">
        <v>58</v>
      </c>
      <c r="B286" s="36" t="str">
        <f t="shared" si="7"/>
        <v>Rikayati</v>
      </c>
      <c r="C286" s="37">
        <f t="shared" si="8"/>
        <v>2000000</v>
      </c>
      <c r="D286" s="11">
        <f t="shared" si="9"/>
        <v>60000</v>
      </c>
      <c r="E286" s="11"/>
      <c r="F286" s="11"/>
      <c r="G286" s="11"/>
      <c r="H286" s="11"/>
      <c r="I286" s="11">
        <f t="shared" si="10"/>
        <v>2000000</v>
      </c>
    </row>
    <row r="287" spans="1:9" x14ac:dyDescent="0.3">
      <c r="A287" s="35">
        <v>59</v>
      </c>
      <c r="B287" s="36" t="str">
        <f t="shared" si="7"/>
        <v>Misbahuddin</v>
      </c>
      <c r="C287" s="37">
        <f t="shared" si="8"/>
        <v>2000000</v>
      </c>
      <c r="D287" s="11">
        <f t="shared" si="9"/>
        <v>60000</v>
      </c>
      <c r="E287" s="11"/>
      <c r="F287" s="11"/>
      <c r="G287" s="11"/>
      <c r="H287" s="11"/>
      <c r="I287" s="11">
        <f t="shared" si="10"/>
        <v>2000000</v>
      </c>
    </row>
    <row r="288" spans="1:9" x14ac:dyDescent="0.3">
      <c r="A288" s="35">
        <v>60</v>
      </c>
      <c r="B288" s="36" t="str">
        <f t="shared" si="7"/>
        <v>Munisah</v>
      </c>
      <c r="C288" s="37">
        <f t="shared" si="8"/>
        <v>500000</v>
      </c>
      <c r="D288" s="11">
        <f t="shared" si="9"/>
        <v>15000</v>
      </c>
      <c r="E288" s="11"/>
      <c r="F288" s="11"/>
      <c r="G288" s="11"/>
      <c r="H288" s="11"/>
      <c r="I288" s="11">
        <f>C288+E288-F288+G288-H288</f>
        <v>500000</v>
      </c>
    </row>
    <row r="289" spans="1:9" x14ac:dyDescent="0.3">
      <c r="A289" s="35">
        <v>61</v>
      </c>
      <c r="B289" s="36">
        <f t="shared" si="7"/>
        <v>0</v>
      </c>
      <c r="C289" s="37">
        <f t="shared" si="8"/>
        <v>0</v>
      </c>
      <c r="D289" s="11">
        <f t="shared" si="9"/>
        <v>0</v>
      </c>
      <c r="E289" s="38"/>
      <c r="F289" s="11"/>
      <c r="G289" s="11"/>
      <c r="H289" s="11"/>
      <c r="I289" s="42">
        <f>C289+E289-F289+G289-H289</f>
        <v>0</v>
      </c>
    </row>
    <row r="290" spans="1:9" x14ac:dyDescent="0.3">
      <c r="A290" s="35">
        <v>62</v>
      </c>
      <c r="B290" s="36">
        <f t="shared" si="7"/>
        <v>0</v>
      </c>
      <c r="C290" s="37">
        <f t="shared" si="8"/>
        <v>0</v>
      </c>
      <c r="D290" s="43">
        <f t="shared" si="9"/>
        <v>0</v>
      </c>
      <c r="E290" s="38"/>
      <c r="F290" s="43"/>
      <c r="G290" s="11"/>
      <c r="H290" s="11"/>
      <c r="I290" s="42">
        <f>C290+E290-F290+G290-H290</f>
        <v>0</v>
      </c>
    </row>
    <row r="291" spans="1:9" ht="17.25" thickBot="1" x14ac:dyDescent="0.35">
      <c r="A291" s="44" t="s">
        <v>13</v>
      </c>
      <c r="B291" s="45"/>
      <c r="C291" s="46">
        <f t="shared" ref="C291:I291" si="11">SUM(C229:C290)</f>
        <v>287223200</v>
      </c>
      <c r="D291" s="47">
        <f t="shared" si="11"/>
        <v>8738696</v>
      </c>
      <c r="E291" s="15">
        <f t="shared" si="11"/>
        <v>0</v>
      </c>
      <c r="F291" s="15">
        <f t="shared" si="11"/>
        <v>0</v>
      </c>
      <c r="G291" s="16">
        <f t="shared" si="11"/>
        <v>7491527</v>
      </c>
      <c r="H291" s="16">
        <f t="shared" si="11"/>
        <v>204000</v>
      </c>
      <c r="I291" s="48">
        <f t="shared" si="11"/>
        <v>293985581</v>
      </c>
    </row>
    <row r="292" spans="1:9" x14ac:dyDescent="0.3">
      <c r="C292" s="49"/>
      <c r="D292" s="50"/>
      <c r="E292" s="50"/>
      <c r="F292" s="50"/>
      <c r="I292" s="19"/>
    </row>
    <row r="293" spans="1:9" x14ac:dyDescent="0.3">
      <c r="H293" s="2" t="s">
        <v>20</v>
      </c>
    </row>
    <row r="297" spans="1:9" x14ac:dyDescent="0.3">
      <c r="H297" s="51" t="s">
        <v>15</v>
      </c>
    </row>
    <row r="336" spans="1:9" ht="20.25" x14ac:dyDescent="0.3">
      <c r="A336" s="52" t="s">
        <v>21</v>
      </c>
      <c r="B336" s="52"/>
      <c r="C336" s="52"/>
      <c r="D336" s="52"/>
      <c r="E336" s="52"/>
      <c r="F336" s="52"/>
      <c r="G336" s="52"/>
      <c r="H336" s="52"/>
      <c r="I336" s="52"/>
    </row>
    <row r="338" spans="1:9" ht="49.5" x14ac:dyDescent="0.3">
      <c r="A338" s="53" t="s">
        <v>1</v>
      </c>
      <c r="B338" s="53" t="s">
        <v>2</v>
      </c>
      <c r="C338" s="54" t="s">
        <v>3</v>
      </c>
      <c r="D338" s="55" t="s">
        <v>4</v>
      </c>
      <c r="E338" s="55" t="s">
        <v>5</v>
      </c>
      <c r="F338" s="55" t="s">
        <v>6</v>
      </c>
      <c r="G338" s="55" t="s">
        <v>7</v>
      </c>
      <c r="H338" s="55" t="s">
        <v>8</v>
      </c>
      <c r="I338" s="5" t="s">
        <v>17</v>
      </c>
    </row>
    <row r="339" spans="1:9" x14ac:dyDescent="0.3">
      <c r="A339" s="56"/>
      <c r="B339" s="56"/>
      <c r="C339" s="57"/>
      <c r="D339" s="58">
        <v>46056</v>
      </c>
      <c r="E339" s="58">
        <f>D339</f>
        <v>46056</v>
      </c>
      <c r="F339" s="58">
        <f>E339</f>
        <v>46056</v>
      </c>
      <c r="G339" s="58">
        <f>F339</f>
        <v>46056</v>
      </c>
      <c r="H339" s="58">
        <f>G339</f>
        <v>46056</v>
      </c>
      <c r="I339" s="58">
        <f>H339</f>
        <v>46056</v>
      </c>
    </row>
    <row r="340" spans="1:9" x14ac:dyDescent="0.3">
      <c r="A340" s="35">
        <v>1</v>
      </c>
      <c r="B340" s="36" t="str">
        <f>B229</f>
        <v>Siti Rohmah</v>
      </c>
      <c r="C340" s="37">
        <f t="shared" ref="C340:C401" si="12">I229</f>
        <v>13500000</v>
      </c>
      <c r="D340" s="11">
        <f>C340*3%</f>
        <v>405000</v>
      </c>
      <c r="E340" s="11"/>
      <c r="F340" s="11"/>
      <c r="G340" s="11"/>
      <c r="H340" s="11"/>
      <c r="I340" s="11">
        <f>C340+E340-F340+G340-H340</f>
        <v>13500000</v>
      </c>
    </row>
    <row r="341" spans="1:9" x14ac:dyDescent="0.3">
      <c r="A341" s="35">
        <v>2</v>
      </c>
      <c r="B341" s="36" t="str">
        <f t="shared" ref="B341:B401" si="13">B230</f>
        <v>Ali Muttaqin</v>
      </c>
      <c r="C341" s="37">
        <f t="shared" si="12"/>
        <v>4000000</v>
      </c>
      <c r="D341" s="11">
        <f t="shared" ref="D341:D401" si="14">C341*3%</f>
        <v>120000</v>
      </c>
      <c r="E341" s="11"/>
      <c r="F341" s="11"/>
      <c r="G341" s="11"/>
      <c r="H341" s="11"/>
      <c r="I341" s="11">
        <f t="shared" ref="I341:I401" si="15">C341+E341-F341+G341-H341</f>
        <v>4000000</v>
      </c>
    </row>
    <row r="342" spans="1:9" x14ac:dyDescent="0.3">
      <c r="A342" s="35">
        <v>3</v>
      </c>
      <c r="B342" s="36" t="str">
        <f t="shared" si="13"/>
        <v>Amnan</v>
      </c>
      <c r="C342" s="37">
        <f t="shared" si="12"/>
        <v>7900000</v>
      </c>
      <c r="D342" s="11">
        <f t="shared" si="14"/>
        <v>237000</v>
      </c>
      <c r="E342" s="11"/>
      <c r="F342" s="11"/>
      <c r="G342" s="11"/>
      <c r="H342" s="11"/>
      <c r="I342" s="11">
        <f t="shared" si="15"/>
        <v>7900000</v>
      </c>
    </row>
    <row r="343" spans="1:9" x14ac:dyDescent="0.3">
      <c r="A343" s="35">
        <v>4</v>
      </c>
      <c r="B343" s="36" t="str">
        <f t="shared" si="13"/>
        <v>Bambang</v>
      </c>
      <c r="C343" s="37">
        <f t="shared" si="12"/>
        <v>8034000</v>
      </c>
      <c r="D343" s="11">
        <f t="shared" si="14"/>
        <v>241020</v>
      </c>
      <c r="E343" s="11"/>
      <c r="F343" s="11"/>
      <c r="G343" s="11"/>
      <c r="H343" s="11">
        <v>234000</v>
      </c>
      <c r="I343" s="11">
        <f t="shared" si="15"/>
        <v>7800000</v>
      </c>
    </row>
    <row r="344" spans="1:9" x14ac:dyDescent="0.3">
      <c r="A344" s="35">
        <v>5</v>
      </c>
      <c r="B344" s="36" t="str">
        <f t="shared" si="13"/>
        <v>Erham</v>
      </c>
      <c r="C344" s="37">
        <f t="shared" si="12"/>
        <v>5300000</v>
      </c>
      <c r="D344" s="11">
        <f t="shared" si="14"/>
        <v>159000</v>
      </c>
      <c r="E344" s="11"/>
      <c r="F344" s="11"/>
      <c r="G344" s="11"/>
      <c r="H344" s="11"/>
      <c r="I344" s="11">
        <f t="shared" si="15"/>
        <v>5300000</v>
      </c>
    </row>
    <row r="345" spans="1:9" x14ac:dyDescent="0.3">
      <c r="A345" s="35">
        <v>6</v>
      </c>
      <c r="B345" s="36" t="str">
        <f t="shared" si="13"/>
        <v>Estuningati</v>
      </c>
      <c r="C345" s="37">
        <f t="shared" si="12"/>
        <v>4000000</v>
      </c>
      <c r="D345" s="11">
        <f t="shared" si="14"/>
        <v>120000</v>
      </c>
      <c r="E345" s="11"/>
      <c r="F345" s="11"/>
      <c r="G345" s="11"/>
      <c r="H345" s="11"/>
      <c r="I345" s="11">
        <f t="shared" si="15"/>
        <v>4000000</v>
      </c>
    </row>
    <row r="346" spans="1:9" x14ac:dyDescent="0.3">
      <c r="A346" s="35">
        <v>7</v>
      </c>
      <c r="B346" s="36" t="str">
        <f t="shared" si="13"/>
        <v>Faisal (Subarin)</v>
      </c>
      <c r="C346" s="37">
        <f t="shared" si="12"/>
        <v>4000000</v>
      </c>
      <c r="D346" s="11">
        <f t="shared" si="14"/>
        <v>120000</v>
      </c>
      <c r="E346" s="11"/>
      <c r="F346" s="11"/>
      <c r="G346" s="11"/>
      <c r="H346" s="11"/>
      <c r="I346" s="11">
        <f t="shared" si="15"/>
        <v>4000000</v>
      </c>
    </row>
    <row r="347" spans="1:9" x14ac:dyDescent="0.3">
      <c r="A347" s="35">
        <v>8</v>
      </c>
      <c r="B347" s="36" t="str">
        <f t="shared" si="13"/>
        <v>Hj. Nur Fadhilah</v>
      </c>
      <c r="C347" s="37">
        <f t="shared" si="12"/>
        <v>2000000</v>
      </c>
      <c r="D347" s="11">
        <f t="shared" si="14"/>
        <v>60000</v>
      </c>
      <c r="E347" s="11"/>
      <c r="F347" s="11"/>
      <c r="G347" s="11"/>
      <c r="H347" s="11"/>
      <c r="I347" s="11">
        <f t="shared" si="15"/>
        <v>2000000</v>
      </c>
    </row>
    <row r="348" spans="1:9" x14ac:dyDescent="0.3">
      <c r="A348" s="35">
        <v>9</v>
      </c>
      <c r="B348" s="36" t="str">
        <f t="shared" si="13"/>
        <v>Hanafi</v>
      </c>
      <c r="C348" s="37">
        <f t="shared" si="12"/>
        <v>1000000</v>
      </c>
      <c r="D348" s="11">
        <f t="shared" si="14"/>
        <v>30000</v>
      </c>
      <c r="E348" s="11"/>
      <c r="F348" s="11"/>
      <c r="G348" s="11"/>
      <c r="H348" s="11"/>
      <c r="I348" s="11">
        <f t="shared" si="15"/>
        <v>1000000</v>
      </c>
    </row>
    <row r="349" spans="1:9" x14ac:dyDescent="0.3">
      <c r="A349" s="35">
        <v>10</v>
      </c>
      <c r="B349" s="36" t="str">
        <f t="shared" si="13"/>
        <v>Hidayat</v>
      </c>
      <c r="C349" s="37">
        <f t="shared" si="12"/>
        <v>2000000</v>
      </c>
      <c r="D349" s="11">
        <f t="shared" si="14"/>
        <v>60000</v>
      </c>
      <c r="E349" s="11"/>
      <c r="F349" s="11"/>
      <c r="G349" s="11"/>
      <c r="H349" s="11"/>
      <c r="I349" s="11">
        <f t="shared" si="15"/>
        <v>2000000</v>
      </c>
    </row>
    <row r="350" spans="1:9" x14ac:dyDescent="0.3">
      <c r="A350" s="35">
        <v>11</v>
      </c>
      <c r="B350" s="36" t="str">
        <f t="shared" si="13"/>
        <v>Ika Tartila</v>
      </c>
      <c r="C350" s="37">
        <f t="shared" si="12"/>
        <v>3300000</v>
      </c>
      <c r="D350" s="11">
        <f t="shared" si="14"/>
        <v>99000</v>
      </c>
      <c r="E350" s="11"/>
      <c r="F350" s="11"/>
      <c r="G350" s="11"/>
      <c r="H350" s="11"/>
      <c r="I350" s="11">
        <f t="shared" si="15"/>
        <v>3300000</v>
      </c>
    </row>
    <row r="351" spans="1:9" x14ac:dyDescent="0.3">
      <c r="A351" s="35">
        <v>12</v>
      </c>
      <c r="B351" s="36" t="str">
        <f t="shared" si="13"/>
        <v>Jumiah 2</v>
      </c>
      <c r="C351" s="37">
        <f t="shared" si="12"/>
        <v>2000000</v>
      </c>
      <c r="D351" s="11">
        <f t="shared" si="14"/>
        <v>60000</v>
      </c>
      <c r="E351" s="11"/>
      <c r="F351" s="11"/>
      <c r="G351" s="11"/>
      <c r="H351" s="11"/>
      <c r="I351" s="11">
        <f t="shared" si="15"/>
        <v>2000000</v>
      </c>
    </row>
    <row r="352" spans="1:9" x14ac:dyDescent="0.3">
      <c r="A352" s="35">
        <v>13</v>
      </c>
      <c r="B352" s="36" t="str">
        <f t="shared" si="13"/>
        <v>Kamari</v>
      </c>
      <c r="C352" s="37">
        <f t="shared" si="12"/>
        <v>7100000</v>
      </c>
      <c r="D352" s="11">
        <f t="shared" si="14"/>
        <v>213000</v>
      </c>
      <c r="E352" s="11"/>
      <c r="F352" s="11"/>
      <c r="G352" s="11"/>
      <c r="H352" s="11"/>
      <c r="I352" s="11">
        <f t="shared" si="15"/>
        <v>7100000</v>
      </c>
    </row>
    <row r="353" spans="1:9" x14ac:dyDescent="0.3">
      <c r="A353" s="35">
        <v>14</v>
      </c>
      <c r="B353" s="36" t="str">
        <f t="shared" si="13"/>
        <v xml:space="preserve">Kolidi </v>
      </c>
      <c r="C353" s="37">
        <f t="shared" si="12"/>
        <v>2500000</v>
      </c>
      <c r="D353" s="11">
        <f t="shared" si="14"/>
        <v>75000</v>
      </c>
      <c r="E353" s="11"/>
      <c r="F353" s="11"/>
      <c r="G353" s="11"/>
      <c r="H353" s="11"/>
      <c r="I353" s="11">
        <f t="shared" si="15"/>
        <v>2500000</v>
      </c>
    </row>
    <row r="354" spans="1:9" x14ac:dyDescent="0.3">
      <c r="A354" s="35">
        <v>15</v>
      </c>
      <c r="B354" s="36" t="str">
        <f t="shared" si="13"/>
        <v>Kuspandi</v>
      </c>
      <c r="C354" s="37">
        <f t="shared" si="12"/>
        <v>1545000</v>
      </c>
      <c r="D354" s="11">
        <f t="shared" si="14"/>
        <v>46350</v>
      </c>
      <c r="E354" s="11"/>
      <c r="F354" s="11"/>
      <c r="G354" s="11"/>
      <c r="H354" s="11"/>
      <c r="I354" s="11">
        <f t="shared" si="15"/>
        <v>1545000</v>
      </c>
    </row>
    <row r="355" spans="1:9" x14ac:dyDescent="0.3">
      <c r="A355" s="35">
        <v>16</v>
      </c>
      <c r="B355" s="36" t="str">
        <f t="shared" si="13"/>
        <v>Malikan</v>
      </c>
      <c r="C355" s="37">
        <f t="shared" si="12"/>
        <v>500000</v>
      </c>
      <c r="D355" s="11">
        <f t="shared" si="14"/>
        <v>15000</v>
      </c>
      <c r="E355" s="11"/>
      <c r="F355" s="11"/>
      <c r="G355" s="11"/>
      <c r="H355" s="11"/>
      <c r="I355" s="11">
        <f t="shared" si="15"/>
        <v>500000</v>
      </c>
    </row>
    <row r="356" spans="1:9" x14ac:dyDescent="0.3">
      <c r="A356" s="35">
        <v>17</v>
      </c>
      <c r="B356" s="36" t="str">
        <f t="shared" si="13"/>
        <v xml:space="preserve">Mardiyah </v>
      </c>
      <c r="C356" s="37">
        <f t="shared" si="12"/>
        <v>11000000</v>
      </c>
      <c r="D356" s="11">
        <f t="shared" si="14"/>
        <v>330000</v>
      </c>
      <c r="E356" s="11"/>
      <c r="F356" s="11"/>
      <c r="G356" s="11"/>
      <c r="H356" s="11"/>
      <c r="I356" s="11">
        <f t="shared" si="15"/>
        <v>11000000</v>
      </c>
    </row>
    <row r="357" spans="1:9" x14ac:dyDescent="0.3">
      <c r="A357" s="35">
        <v>18</v>
      </c>
      <c r="B357" s="36" t="str">
        <f t="shared" si="13"/>
        <v>Matakrip</v>
      </c>
      <c r="C357" s="37">
        <f t="shared" si="12"/>
        <v>2000000</v>
      </c>
      <c r="D357" s="11">
        <f t="shared" si="14"/>
        <v>60000</v>
      </c>
      <c r="E357" s="11"/>
      <c r="F357" s="11"/>
      <c r="G357" s="11"/>
      <c r="H357" s="11"/>
      <c r="I357" s="11">
        <f t="shared" si="15"/>
        <v>2000000</v>
      </c>
    </row>
    <row r="358" spans="1:9" x14ac:dyDescent="0.3">
      <c r="A358" s="35">
        <v>19</v>
      </c>
      <c r="B358" s="36" t="str">
        <f t="shared" si="13"/>
        <v>Isti Umami</v>
      </c>
      <c r="C358" s="37">
        <f t="shared" si="12"/>
        <v>3900000</v>
      </c>
      <c r="D358" s="11">
        <f t="shared" si="14"/>
        <v>117000</v>
      </c>
      <c r="E358" s="11"/>
      <c r="F358" s="11"/>
      <c r="G358" s="11"/>
      <c r="H358" s="11"/>
      <c r="I358" s="11">
        <f t="shared" si="15"/>
        <v>3900000</v>
      </c>
    </row>
    <row r="359" spans="1:9" x14ac:dyDescent="0.3">
      <c r="A359" s="35">
        <v>20</v>
      </c>
      <c r="B359" s="36" t="str">
        <f t="shared" si="13"/>
        <v>Mathoha</v>
      </c>
      <c r="C359" s="37">
        <f t="shared" si="12"/>
        <v>3500000</v>
      </c>
      <c r="D359" s="11">
        <f t="shared" si="14"/>
        <v>105000</v>
      </c>
      <c r="E359" s="11"/>
      <c r="F359" s="11"/>
      <c r="G359" s="11"/>
      <c r="H359" s="11"/>
      <c r="I359" s="11">
        <f t="shared" si="15"/>
        <v>3500000</v>
      </c>
    </row>
    <row r="360" spans="1:9" x14ac:dyDescent="0.3">
      <c r="A360" s="35">
        <v>21</v>
      </c>
      <c r="B360" s="36" t="str">
        <f t="shared" si="13"/>
        <v>Matkasan</v>
      </c>
      <c r="C360" s="37">
        <f t="shared" si="12"/>
        <v>1000000</v>
      </c>
      <c r="D360" s="11">
        <f t="shared" si="14"/>
        <v>30000</v>
      </c>
      <c r="E360" s="11"/>
      <c r="F360" s="11"/>
      <c r="G360" s="11"/>
      <c r="H360" s="11"/>
      <c r="I360" s="11">
        <f t="shared" si="15"/>
        <v>1000000</v>
      </c>
    </row>
    <row r="361" spans="1:9" x14ac:dyDescent="0.3">
      <c r="A361" s="35">
        <v>22</v>
      </c>
      <c r="B361" s="36" t="str">
        <f t="shared" si="13"/>
        <v>Umi Nadhiroh</v>
      </c>
      <c r="C361" s="37">
        <f t="shared" si="12"/>
        <v>4000000</v>
      </c>
      <c r="D361" s="11">
        <f t="shared" si="14"/>
        <v>120000</v>
      </c>
      <c r="E361" s="11"/>
      <c r="F361" s="11"/>
      <c r="G361" s="11"/>
      <c r="H361" s="11"/>
      <c r="I361" s="11">
        <f t="shared" si="15"/>
        <v>4000000</v>
      </c>
    </row>
    <row r="362" spans="1:9" x14ac:dyDescent="0.3">
      <c r="A362" s="35">
        <v>23</v>
      </c>
      <c r="B362" s="36" t="str">
        <f t="shared" si="13"/>
        <v>Mi'an</v>
      </c>
      <c r="C362" s="37">
        <f t="shared" si="12"/>
        <v>5700000</v>
      </c>
      <c r="D362" s="11">
        <f t="shared" si="14"/>
        <v>171000</v>
      </c>
      <c r="E362" s="11"/>
      <c r="F362" s="11"/>
      <c r="G362" s="11"/>
      <c r="H362" s="11"/>
      <c r="I362" s="11">
        <f t="shared" si="15"/>
        <v>5700000</v>
      </c>
    </row>
    <row r="363" spans="1:9" x14ac:dyDescent="0.3">
      <c r="A363" s="35">
        <v>24</v>
      </c>
      <c r="B363" s="36" t="str">
        <f t="shared" si="13"/>
        <v>Mu'minin</v>
      </c>
      <c r="C363" s="37">
        <f t="shared" si="12"/>
        <v>4000000</v>
      </c>
      <c r="D363" s="11">
        <f t="shared" si="14"/>
        <v>120000</v>
      </c>
      <c r="E363" s="11"/>
      <c r="F363" s="11"/>
      <c r="G363" s="11"/>
      <c r="H363" s="11"/>
      <c r="I363" s="11">
        <f t="shared" si="15"/>
        <v>4000000</v>
      </c>
    </row>
    <row r="364" spans="1:9" x14ac:dyDescent="0.3">
      <c r="A364" s="35">
        <v>25</v>
      </c>
      <c r="B364" s="36" t="str">
        <f t="shared" si="13"/>
        <v>Munawar</v>
      </c>
      <c r="C364" s="37">
        <f t="shared" si="12"/>
        <v>3399000</v>
      </c>
      <c r="D364" s="11">
        <f t="shared" si="14"/>
        <v>101970</v>
      </c>
      <c r="E364" s="11"/>
      <c r="F364" s="11"/>
      <c r="G364" s="11"/>
      <c r="H364" s="11"/>
      <c r="I364" s="11">
        <f t="shared" si="15"/>
        <v>3399000</v>
      </c>
    </row>
    <row r="365" spans="1:9" x14ac:dyDescent="0.3">
      <c r="A365" s="35">
        <v>26</v>
      </c>
      <c r="B365" s="36" t="str">
        <f t="shared" si="13"/>
        <v>Muslikatin</v>
      </c>
      <c r="C365" s="37">
        <f t="shared" si="12"/>
        <v>1000000</v>
      </c>
      <c r="D365" s="11">
        <f t="shared" si="14"/>
        <v>30000</v>
      </c>
      <c r="E365" s="11"/>
      <c r="F365" s="11"/>
      <c r="G365" s="11"/>
      <c r="H365" s="11"/>
      <c r="I365" s="11">
        <f t="shared" si="15"/>
        <v>1000000</v>
      </c>
    </row>
    <row r="366" spans="1:9" x14ac:dyDescent="0.3">
      <c r="A366" s="35">
        <v>27</v>
      </c>
      <c r="B366" s="36" t="str">
        <f t="shared" si="13"/>
        <v>Nurhadi</v>
      </c>
      <c r="C366" s="37">
        <f t="shared" si="12"/>
        <v>2000000</v>
      </c>
      <c r="D366" s="11">
        <f t="shared" si="14"/>
        <v>60000</v>
      </c>
      <c r="E366" s="11"/>
      <c r="F366" s="11"/>
      <c r="G366" s="11"/>
      <c r="H366" s="11"/>
      <c r="I366" s="11">
        <f t="shared" si="15"/>
        <v>2000000</v>
      </c>
    </row>
    <row r="367" spans="1:9" x14ac:dyDescent="0.3">
      <c r="A367" s="35">
        <v>28</v>
      </c>
      <c r="B367" s="36" t="str">
        <f t="shared" si="13"/>
        <v>Siti Nurmahmudah</v>
      </c>
      <c r="C367" s="37">
        <f t="shared" si="12"/>
        <v>7000000</v>
      </c>
      <c r="D367" s="11">
        <f t="shared" si="14"/>
        <v>210000</v>
      </c>
      <c r="E367" s="11"/>
      <c r="F367" s="11"/>
      <c r="G367" s="11">
        <v>210000</v>
      </c>
      <c r="H367" s="11"/>
      <c r="I367" s="11">
        <f t="shared" si="15"/>
        <v>7210000</v>
      </c>
    </row>
    <row r="368" spans="1:9" x14ac:dyDescent="0.3">
      <c r="A368" s="35">
        <v>29</v>
      </c>
      <c r="B368" s="36" t="str">
        <f t="shared" si="13"/>
        <v>Saeman</v>
      </c>
      <c r="C368" s="37">
        <f t="shared" si="12"/>
        <v>7000000</v>
      </c>
      <c r="D368" s="11">
        <f t="shared" si="14"/>
        <v>210000</v>
      </c>
      <c r="E368" s="11"/>
      <c r="F368" s="11"/>
      <c r="G368" s="11"/>
      <c r="H368" s="11"/>
      <c r="I368" s="11">
        <f t="shared" si="15"/>
        <v>7000000</v>
      </c>
    </row>
    <row r="369" spans="1:9" x14ac:dyDescent="0.3">
      <c r="A369" s="35">
        <v>30</v>
      </c>
      <c r="B369" s="36" t="str">
        <f t="shared" si="13"/>
        <v>Sarto</v>
      </c>
      <c r="C369" s="37">
        <f t="shared" si="12"/>
        <v>2000000</v>
      </c>
      <c r="D369" s="11">
        <f t="shared" si="14"/>
        <v>60000</v>
      </c>
      <c r="E369" s="11"/>
      <c r="F369" s="11"/>
      <c r="G369" s="11"/>
      <c r="H369" s="11"/>
      <c r="I369" s="11">
        <f t="shared" si="15"/>
        <v>2000000</v>
      </c>
    </row>
    <row r="370" spans="1:9" x14ac:dyDescent="0.3">
      <c r="A370" s="35">
        <v>31</v>
      </c>
      <c r="B370" s="36" t="str">
        <f t="shared" si="13"/>
        <v>Sholik 9</v>
      </c>
      <c r="C370" s="37">
        <f t="shared" si="12"/>
        <v>21308177</v>
      </c>
      <c r="D370" s="11">
        <f t="shared" si="14"/>
        <v>639245.30999999994</v>
      </c>
      <c r="E370" s="11"/>
      <c r="F370" s="11"/>
      <c r="G370" s="11"/>
      <c r="H370" s="11"/>
      <c r="I370" s="11">
        <f t="shared" si="15"/>
        <v>21308177</v>
      </c>
    </row>
    <row r="371" spans="1:9" x14ac:dyDescent="0.3">
      <c r="A371" s="35">
        <v>32</v>
      </c>
      <c r="B371" s="36" t="str">
        <f t="shared" si="13"/>
        <v>Siono</v>
      </c>
      <c r="C371" s="37">
        <f t="shared" si="12"/>
        <v>6180000</v>
      </c>
      <c r="D371" s="11">
        <f t="shared" si="14"/>
        <v>185400</v>
      </c>
      <c r="E371" s="11"/>
      <c r="F371" s="11"/>
      <c r="G371" s="11"/>
      <c r="H371" s="11"/>
      <c r="I371" s="11">
        <f t="shared" si="15"/>
        <v>6180000</v>
      </c>
    </row>
    <row r="372" spans="1:9" x14ac:dyDescent="0.3">
      <c r="A372" s="35">
        <v>33</v>
      </c>
      <c r="B372" s="36" t="str">
        <f t="shared" si="13"/>
        <v>Sumadi</v>
      </c>
      <c r="C372" s="37">
        <f t="shared" si="12"/>
        <v>7500000</v>
      </c>
      <c r="D372" s="11">
        <f t="shared" si="14"/>
        <v>225000</v>
      </c>
      <c r="E372" s="11"/>
      <c r="F372" s="11"/>
      <c r="G372" s="11"/>
      <c r="H372" s="11"/>
      <c r="I372" s="11">
        <f t="shared" si="15"/>
        <v>7500000</v>
      </c>
    </row>
    <row r="373" spans="1:9" x14ac:dyDescent="0.3">
      <c r="A373" s="35">
        <v>34</v>
      </c>
      <c r="B373" s="36" t="str">
        <f t="shared" si="13"/>
        <v>Sumar</v>
      </c>
      <c r="C373" s="37">
        <f t="shared" si="12"/>
        <v>4500000</v>
      </c>
      <c r="D373" s="11">
        <f t="shared" si="14"/>
        <v>135000</v>
      </c>
      <c r="E373" s="11"/>
      <c r="F373" s="11"/>
      <c r="G373" s="11">
        <v>500000</v>
      </c>
      <c r="H373" s="11"/>
      <c r="I373" s="11">
        <f t="shared" si="15"/>
        <v>5000000</v>
      </c>
    </row>
    <row r="374" spans="1:9" x14ac:dyDescent="0.3">
      <c r="A374" s="35">
        <v>35</v>
      </c>
      <c r="B374" s="36" t="str">
        <f t="shared" si="13"/>
        <v>Sunamah</v>
      </c>
      <c r="C374" s="37">
        <f t="shared" si="12"/>
        <v>7000000</v>
      </c>
      <c r="D374" s="11">
        <f t="shared" si="14"/>
        <v>210000</v>
      </c>
      <c r="E374" s="11"/>
      <c r="F374" s="11"/>
      <c r="G374" s="11">
        <v>1000000</v>
      </c>
      <c r="H374" s="11"/>
      <c r="I374" s="11">
        <f t="shared" si="15"/>
        <v>8000000</v>
      </c>
    </row>
    <row r="375" spans="1:9" x14ac:dyDescent="0.3">
      <c r="A375" s="35">
        <v>36</v>
      </c>
      <c r="B375" s="36" t="str">
        <f t="shared" si="13"/>
        <v>Supiani</v>
      </c>
      <c r="C375" s="37">
        <f t="shared" si="12"/>
        <v>2000000</v>
      </c>
      <c r="D375" s="11">
        <f t="shared" si="14"/>
        <v>60000</v>
      </c>
      <c r="E375" s="11"/>
      <c r="F375" s="11"/>
      <c r="G375" s="11"/>
      <c r="H375" s="11"/>
      <c r="I375" s="11">
        <f t="shared" si="15"/>
        <v>2000000</v>
      </c>
    </row>
    <row r="376" spans="1:9" x14ac:dyDescent="0.3">
      <c r="A376" s="35">
        <v>37</v>
      </c>
      <c r="B376" s="36" t="str">
        <f t="shared" si="13"/>
        <v>Supriaji</v>
      </c>
      <c r="C376" s="37">
        <f t="shared" si="12"/>
        <v>12360000</v>
      </c>
      <c r="D376" s="11">
        <f t="shared" si="14"/>
        <v>370800</v>
      </c>
      <c r="E376" s="11"/>
      <c r="F376" s="11"/>
      <c r="G376" s="11"/>
      <c r="H376" s="11"/>
      <c r="I376" s="11">
        <f t="shared" si="15"/>
        <v>12360000</v>
      </c>
    </row>
    <row r="377" spans="1:9" x14ac:dyDescent="0.3">
      <c r="A377" s="35">
        <v>38</v>
      </c>
      <c r="B377" s="36" t="str">
        <f t="shared" si="13"/>
        <v>Suwanan/Iksan</v>
      </c>
      <c r="C377" s="37">
        <f t="shared" si="12"/>
        <v>5000000</v>
      </c>
      <c r="D377" s="11">
        <f t="shared" si="14"/>
        <v>150000</v>
      </c>
      <c r="E377" s="11"/>
      <c r="F377" s="11"/>
      <c r="G377" s="11"/>
      <c r="H377" s="11"/>
      <c r="I377" s="11">
        <f t="shared" si="15"/>
        <v>5000000</v>
      </c>
    </row>
    <row r="378" spans="1:9" x14ac:dyDescent="0.3">
      <c r="A378" s="35">
        <v>39</v>
      </c>
      <c r="B378" s="36" t="str">
        <f t="shared" si="13"/>
        <v>Suwari</v>
      </c>
      <c r="C378" s="37">
        <f t="shared" si="12"/>
        <v>1030000</v>
      </c>
      <c r="D378" s="11">
        <f t="shared" si="14"/>
        <v>30900</v>
      </c>
      <c r="E378" s="11"/>
      <c r="F378" s="11"/>
      <c r="G378" s="11"/>
      <c r="H378" s="11"/>
      <c r="I378" s="11">
        <f t="shared" si="15"/>
        <v>1030000</v>
      </c>
    </row>
    <row r="379" spans="1:9" x14ac:dyDescent="0.3">
      <c r="A379" s="35">
        <v>40</v>
      </c>
      <c r="B379" s="36" t="str">
        <f t="shared" si="13"/>
        <v>Suyono 2</v>
      </c>
      <c r="C379" s="37">
        <f t="shared" si="12"/>
        <v>8500000</v>
      </c>
      <c r="D379" s="11">
        <f t="shared" si="14"/>
        <v>255000</v>
      </c>
      <c r="E379" s="11"/>
      <c r="F379" s="11"/>
      <c r="G379" s="11"/>
      <c r="H379" s="11"/>
      <c r="I379" s="11">
        <f t="shared" si="15"/>
        <v>8500000</v>
      </c>
    </row>
    <row r="380" spans="1:9" x14ac:dyDescent="0.3">
      <c r="A380" s="35">
        <v>41</v>
      </c>
      <c r="B380" s="36" t="str">
        <f t="shared" si="13"/>
        <v>Tisno</v>
      </c>
      <c r="C380" s="37">
        <f t="shared" si="12"/>
        <v>2000000</v>
      </c>
      <c r="D380" s="11">
        <f t="shared" si="14"/>
        <v>60000</v>
      </c>
      <c r="E380" s="11"/>
      <c r="F380" s="11"/>
      <c r="G380" s="11"/>
      <c r="H380" s="11"/>
      <c r="I380" s="11">
        <f t="shared" si="15"/>
        <v>2000000</v>
      </c>
    </row>
    <row r="381" spans="1:9" x14ac:dyDescent="0.3">
      <c r="A381" s="35">
        <v>42</v>
      </c>
      <c r="B381" s="36" t="str">
        <f t="shared" si="13"/>
        <v>Umi Kulsum</v>
      </c>
      <c r="C381" s="37">
        <f t="shared" si="12"/>
        <v>4000000</v>
      </c>
      <c r="D381" s="11">
        <f t="shared" si="14"/>
        <v>120000</v>
      </c>
      <c r="E381" s="38"/>
      <c r="F381" s="38"/>
      <c r="G381" s="38"/>
      <c r="H381" s="11"/>
      <c r="I381" s="11">
        <f t="shared" si="15"/>
        <v>4000000</v>
      </c>
    </row>
    <row r="382" spans="1:9" x14ac:dyDescent="0.3">
      <c r="A382" s="35">
        <v>43</v>
      </c>
      <c r="B382" s="36" t="str">
        <f t="shared" si="13"/>
        <v>Rofiq</v>
      </c>
      <c r="C382" s="37">
        <f t="shared" si="12"/>
        <v>3000000</v>
      </c>
      <c r="D382" s="11">
        <f t="shared" si="14"/>
        <v>90000</v>
      </c>
      <c r="E382" s="38"/>
      <c r="F382" s="38"/>
      <c r="G382" s="38"/>
      <c r="H382" s="11"/>
      <c r="I382" s="11">
        <f t="shared" si="15"/>
        <v>3000000</v>
      </c>
    </row>
    <row r="383" spans="1:9" x14ac:dyDescent="0.3">
      <c r="A383" s="35">
        <v>44</v>
      </c>
      <c r="B383" s="36" t="str">
        <f t="shared" si="13"/>
        <v>Zumaroh</v>
      </c>
      <c r="C383" s="37">
        <f t="shared" si="12"/>
        <v>3000000</v>
      </c>
      <c r="D383" s="11">
        <f t="shared" si="14"/>
        <v>90000</v>
      </c>
      <c r="E383" s="38"/>
      <c r="F383" s="38"/>
      <c r="G383" s="38"/>
      <c r="H383" s="11"/>
      <c r="I383" s="11">
        <f t="shared" si="15"/>
        <v>3000000</v>
      </c>
    </row>
    <row r="384" spans="1:9" x14ac:dyDescent="0.3">
      <c r="A384" s="35">
        <v>45</v>
      </c>
      <c r="B384" s="36" t="str">
        <f t="shared" si="13"/>
        <v>Ning Husniah</v>
      </c>
      <c r="C384" s="37">
        <f t="shared" si="12"/>
        <v>1000000</v>
      </c>
      <c r="D384" s="11">
        <f t="shared" si="14"/>
        <v>30000</v>
      </c>
      <c r="E384" s="11"/>
      <c r="F384" s="11"/>
      <c r="G384" s="11"/>
      <c r="H384" s="11"/>
      <c r="I384" s="11">
        <f t="shared" si="15"/>
        <v>1000000</v>
      </c>
    </row>
    <row r="385" spans="1:9" x14ac:dyDescent="0.3">
      <c r="A385" s="39">
        <v>46</v>
      </c>
      <c r="B385" s="36" t="str">
        <f t="shared" si="13"/>
        <v>Lu'luur R</v>
      </c>
      <c r="C385" s="37">
        <f t="shared" si="12"/>
        <v>7000000</v>
      </c>
      <c r="D385" s="11">
        <f t="shared" si="14"/>
        <v>210000</v>
      </c>
      <c r="E385" s="41"/>
      <c r="F385" s="41"/>
      <c r="G385" s="41"/>
      <c r="H385" s="40"/>
      <c r="I385" s="11">
        <f t="shared" si="15"/>
        <v>7000000</v>
      </c>
    </row>
    <row r="386" spans="1:9" x14ac:dyDescent="0.3">
      <c r="A386" s="35">
        <v>47</v>
      </c>
      <c r="B386" s="36" t="str">
        <f t="shared" si="13"/>
        <v>Umar</v>
      </c>
      <c r="C386" s="37">
        <f t="shared" si="12"/>
        <v>1500000</v>
      </c>
      <c r="D386" s="11">
        <f t="shared" si="14"/>
        <v>45000</v>
      </c>
      <c r="E386" s="38"/>
      <c r="F386" s="38"/>
      <c r="G386" s="38">
        <v>1000000</v>
      </c>
      <c r="H386" s="11"/>
      <c r="I386" s="11">
        <f t="shared" si="15"/>
        <v>2500000</v>
      </c>
    </row>
    <row r="387" spans="1:9" x14ac:dyDescent="0.3">
      <c r="A387" s="35">
        <v>48</v>
      </c>
      <c r="B387" s="36" t="str">
        <f t="shared" si="13"/>
        <v>Ana/Bu Khoiri</v>
      </c>
      <c r="C387" s="37">
        <f t="shared" si="12"/>
        <v>1124554</v>
      </c>
      <c r="D387" s="11">
        <f t="shared" si="14"/>
        <v>33736.619999999995</v>
      </c>
      <c r="E387" s="11"/>
      <c r="F387" s="11"/>
      <c r="G387" s="11"/>
      <c r="H387" s="11">
        <v>124554</v>
      </c>
      <c r="I387" s="11">
        <f t="shared" si="15"/>
        <v>1000000</v>
      </c>
    </row>
    <row r="388" spans="1:9" x14ac:dyDescent="0.3">
      <c r="A388" s="35">
        <v>49</v>
      </c>
      <c r="B388" s="36" t="str">
        <f t="shared" si="13"/>
        <v>Anik Mahsunah W</v>
      </c>
      <c r="C388" s="37">
        <f t="shared" si="12"/>
        <v>1000000</v>
      </c>
      <c r="D388" s="11">
        <f t="shared" si="14"/>
        <v>30000</v>
      </c>
      <c r="E388" s="11"/>
      <c r="F388" s="11"/>
      <c r="G388" s="11"/>
      <c r="H388" s="11"/>
      <c r="I388" s="11">
        <f t="shared" si="15"/>
        <v>1000000</v>
      </c>
    </row>
    <row r="389" spans="1:9" x14ac:dyDescent="0.3">
      <c r="A389" s="35">
        <v>50</v>
      </c>
      <c r="B389" s="36" t="str">
        <f t="shared" si="13"/>
        <v>Fajrul Ummah</v>
      </c>
      <c r="C389" s="37">
        <f t="shared" si="12"/>
        <v>17504850</v>
      </c>
      <c r="D389" s="11">
        <f t="shared" si="14"/>
        <v>525145.5</v>
      </c>
      <c r="E389" s="11"/>
      <c r="F389" s="11"/>
      <c r="G389" s="11"/>
      <c r="H389" s="11"/>
      <c r="I389" s="11">
        <f t="shared" si="15"/>
        <v>17504850</v>
      </c>
    </row>
    <row r="390" spans="1:9" x14ac:dyDescent="0.3">
      <c r="A390" s="35">
        <v>51</v>
      </c>
      <c r="B390" s="36" t="str">
        <f t="shared" si="13"/>
        <v>Imam Masrodin</v>
      </c>
      <c r="C390" s="37">
        <f t="shared" si="12"/>
        <v>500000</v>
      </c>
      <c r="D390" s="11">
        <f t="shared" si="14"/>
        <v>15000</v>
      </c>
      <c r="E390" s="11"/>
      <c r="F390" s="11"/>
      <c r="G390" s="11"/>
      <c r="H390" s="11"/>
      <c r="I390" s="11">
        <f t="shared" si="15"/>
        <v>500000</v>
      </c>
    </row>
    <row r="391" spans="1:9" x14ac:dyDescent="0.3">
      <c r="A391" s="35">
        <v>52</v>
      </c>
      <c r="B391" s="36" t="str">
        <f t="shared" si="13"/>
        <v>Muayanah</v>
      </c>
      <c r="C391" s="37">
        <f t="shared" si="12"/>
        <v>8800000</v>
      </c>
      <c r="D391" s="11">
        <f t="shared" si="14"/>
        <v>264000</v>
      </c>
      <c r="E391" s="38"/>
      <c r="F391" s="38"/>
      <c r="G391" s="38">
        <v>1000000</v>
      </c>
      <c r="H391" s="11"/>
      <c r="I391" s="11">
        <f t="shared" si="15"/>
        <v>9800000</v>
      </c>
    </row>
    <row r="392" spans="1:9" x14ac:dyDescent="0.3">
      <c r="A392" s="35">
        <v>53</v>
      </c>
      <c r="B392" s="36" t="str">
        <f t="shared" si="13"/>
        <v>Siswanto</v>
      </c>
      <c r="C392" s="37">
        <f t="shared" si="12"/>
        <v>3000000</v>
      </c>
      <c r="D392" s="11">
        <f t="shared" si="14"/>
        <v>90000</v>
      </c>
      <c r="E392" s="38"/>
      <c r="F392" s="38"/>
      <c r="G392" s="38"/>
      <c r="H392" s="11"/>
      <c r="I392" s="11">
        <f t="shared" si="15"/>
        <v>3000000</v>
      </c>
    </row>
    <row r="393" spans="1:9" x14ac:dyDescent="0.3">
      <c r="A393" s="35">
        <v>54</v>
      </c>
      <c r="B393" s="36" t="str">
        <f t="shared" si="13"/>
        <v>Bin Asiyah</v>
      </c>
      <c r="C393" s="37">
        <f t="shared" si="12"/>
        <v>6000000</v>
      </c>
      <c r="D393" s="11">
        <f t="shared" si="14"/>
        <v>180000</v>
      </c>
      <c r="E393" s="38"/>
      <c r="F393" s="38"/>
      <c r="G393" s="38"/>
      <c r="H393" s="11"/>
      <c r="I393" s="11">
        <f t="shared" si="15"/>
        <v>6000000</v>
      </c>
    </row>
    <row r="394" spans="1:9" x14ac:dyDescent="0.3">
      <c r="A394" s="35">
        <v>55</v>
      </c>
      <c r="B394" s="36" t="str">
        <f t="shared" si="13"/>
        <v>Tayem</v>
      </c>
      <c r="C394" s="37">
        <f t="shared" si="12"/>
        <v>14500000</v>
      </c>
      <c r="D394" s="11">
        <f t="shared" si="14"/>
        <v>435000</v>
      </c>
      <c r="E394" s="38"/>
      <c r="F394" s="38"/>
      <c r="G394" s="38"/>
      <c r="H394" s="11"/>
      <c r="I394" s="11">
        <f t="shared" si="15"/>
        <v>14500000</v>
      </c>
    </row>
    <row r="395" spans="1:9" x14ac:dyDescent="0.3">
      <c r="A395" s="35">
        <v>56</v>
      </c>
      <c r="B395" s="36" t="str">
        <f t="shared" si="13"/>
        <v>Sholahuddin Afif</v>
      </c>
      <c r="C395" s="37">
        <f t="shared" si="12"/>
        <v>13000000</v>
      </c>
      <c r="D395" s="11">
        <f t="shared" si="14"/>
        <v>390000</v>
      </c>
      <c r="E395" s="38"/>
      <c r="F395" s="38"/>
      <c r="G395" s="38">
        <v>2000000</v>
      </c>
      <c r="H395" s="11"/>
      <c r="I395" s="11">
        <f t="shared" si="15"/>
        <v>15000000</v>
      </c>
    </row>
    <row r="396" spans="1:9" x14ac:dyDescent="0.3">
      <c r="A396" s="35">
        <v>57</v>
      </c>
      <c r="B396" s="36" t="str">
        <f t="shared" si="13"/>
        <v>Masithah</v>
      </c>
      <c r="C396" s="37">
        <f t="shared" si="12"/>
        <v>1000000</v>
      </c>
      <c r="D396" s="11">
        <f t="shared" si="14"/>
        <v>30000</v>
      </c>
      <c r="E396" s="38"/>
      <c r="F396" s="38"/>
      <c r="G396" s="38"/>
      <c r="H396" s="38"/>
      <c r="I396" s="11">
        <f t="shared" si="15"/>
        <v>1000000</v>
      </c>
    </row>
    <row r="397" spans="1:9" x14ac:dyDescent="0.3">
      <c r="A397" s="35">
        <v>58</v>
      </c>
      <c r="B397" s="36" t="str">
        <f t="shared" si="13"/>
        <v>Rikayati</v>
      </c>
      <c r="C397" s="37">
        <f t="shared" si="12"/>
        <v>2000000</v>
      </c>
      <c r="D397" s="11">
        <f t="shared" si="14"/>
        <v>60000</v>
      </c>
      <c r="E397" s="11"/>
      <c r="F397" s="11"/>
      <c r="G397" s="11"/>
      <c r="H397" s="11"/>
      <c r="I397" s="11">
        <f t="shared" si="15"/>
        <v>2000000</v>
      </c>
    </row>
    <row r="398" spans="1:9" x14ac:dyDescent="0.3">
      <c r="A398" s="35">
        <v>59</v>
      </c>
      <c r="B398" s="36" t="str">
        <f t="shared" si="13"/>
        <v>Misbahuddin</v>
      </c>
      <c r="C398" s="37">
        <f t="shared" si="12"/>
        <v>2000000</v>
      </c>
      <c r="D398" s="11">
        <f t="shared" si="14"/>
        <v>60000</v>
      </c>
      <c r="E398" s="11"/>
      <c r="F398" s="11"/>
      <c r="G398" s="11"/>
      <c r="H398" s="11"/>
      <c r="I398" s="11">
        <f t="shared" si="15"/>
        <v>2000000</v>
      </c>
    </row>
    <row r="399" spans="1:9" x14ac:dyDescent="0.3">
      <c r="A399" s="35">
        <v>60</v>
      </c>
      <c r="B399" s="36" t="str">
        <f t="shared" si="13"/>
        <v>Munisah</v>
      </c>
      <c r="C399" s="37">
        <f t="shared" si="12"/>
        <v>500000</v>
      </c>
      <c r="D399" s="11">
        <f t="shared" si="14"/>
        <v>15000</v>
      </c>
      <c r="E399" s="11"/>
      <c r="F399" s="11"/>
      <c r="G399" s="11">
        <v>1000000</v>
      </c>
      <c r="H399" s="11"/>
      <c r="I399" s="11">
        <f t="shared" si="15"/>
        <v>1500000</v>
      </c>
    </row>
    <row r="400" spans="1:9" x14ac:dyDescent="0.3">
      <c r="A400" s="35">
        <v>61</v>
      </c>
      <c r="B400" s="36">
        <f t="shared" si="13"/>
        <v>0</v>
      </c>
      <c r="C400" s="59">
        <f t="shared" si="12"/>
        <v>0</v>
      </c>
      <c r="D400" s="11">
        <f t="shared" si="14"/>
        <v>0</v>
      </c>
      <c r="E400" s="38"/>
      <c r="F400" s="11"/>
      <c r="G400" s="11"/>
      <c r="H400" s="11"/>
      <c r="I400" s="11">
        <f t="shared" si="15"/>
        <v>0</v>
      </c>
    </row>
    <row r="401" spans="1:9" x14ac:dyDescent="0.3">
      <c r="A401" s="35">
        <v>62</v>
      </c>
      <c r="B401" s="36">
        <f t="shared" si="13"/>
        <v>0</v>
      </c>
      <c r="C401" s="59">
        <f t="shared" si="12"/>
        <v>0</v>
      </c>
      <c r="D401" s="11">
        <f t="shared" si="14"/>
        <v>0</v>
      </c>
      <c r="E401" s="38"/>
      <c r="F401" s="43"/>
      <c r="G401" s="11"/>
      <c r="H401" s="11"/>
      <c r="I401" s="11">
        <f t="shared" si="15"/>
        <v>0</v>
      </c>
    </row>
    <row r="402" spans="1:9" ht="17.25" thickBot="1" x14ac:dyDescent="0.35">
      <c r="A402" s="44" t="s">
        <v>13</v>
      </c>
      <c r="B402" s="45"/>
      <c r="C402" s="46">
        <f t="shared" ref="C402:I402" si="16">SUM(C340:C401)</f>
        <v>293985581</v>
      </c>
      <c r="D402" s="47">
        <f t="shared" si="16"/>
        <v>8819567.4299999997</v>
      </c>
      <c r="E402" s="15">
        <f t="shared" si="16"/>
        <v>0</v>
      </c>
      <c r="F402" s="15">
        <f t="shared" si="16"/>
        <v>0</v>
      </c>
      <c r="G402" s="16">
        <f>SUM(G340:G401)</f>
        <v>6710000</v>
      </c>
      <c r="H402" s="16">
        <f t="shared" si="16"/>
        <v>358554</v>
      </c>
      <c r="I402" s="17">
        <f t="shared" si="16"/>
        <v>300337027</v>
      </c>
    </row>
    <row r="403" spans="1:9" x14ac:dyDescent="0.3">
      <c r="C403" s="49"/>
      <c r="D403" s="50"/>
      <c r="E403" s="50"/>
      <c r="F403" s="50"/>
      <c r="I403" s="19"/>
    </row>
    <row r="404" spans="1:9" x14ac:dyDescent="0.3">
      <c r="H404" s="2" t="s">
        <v>22</v>
      </c>
    </row>
    <row r="408" spans="1:9" x14ac:dyDescent="0.3">
      <c r="H408" s="51" t="s">
        <v>15</v>
      </c>
    </row>
    <row r="411" spans="1:9" x14ac:dyDescent="0.3">
      <c r="H411" s="3"/>
      <c r="I411" s="2"/>
    </row>
    <row r="412" spans="1:9" x14ac:dyDescent="0.3">
      <c r="H412" s="3"/>
      <c r="I412" s="2"/>
    </row>
    <row r="413" spans="1:9" x14ac:dyDescent="0.3">
      <c r="H413" s="3"/>
      <c r="I413" s="2"/>
    </row>
    <row r="414" spans="1:9" x14ac:dyDescent="0.3">
      <c r="H414" s="3"/>
      <c r="I414" s="2"/>
    </row>
    <row r="415" spans="1:9" x14ac:dyDescent="0.3">
      <c r="H415" s="3"/>
      <c r="I415" s="2"/>
    </row>
    <row r="416" spans="1:9" x14ac:dyDescent="0.3">
      <c r="H416" s="3"/>
      <c r="I416" s="2"/>
    </row>
    <row r="417" spans="8:9" x14ac:dyDescent="0.3">
      <c r="H417" s="3"/>
      <c r="I417" s="2"/>
    </row>
    <row r="418" spans="8:9" x14ac:dyDescent="0.3">
      <c r="H418" s="3"/>
      <c r="I418" s="2"/>
    </row>
    <row r="419" spans="8:9" x14ac:dyDescent="0.3">
      <c r="H419" s="3"/>
      <c r="I419" s="2"/>
    </row>
    <row r="447" spans="1:9" ht="20.25" x14ac:dyDescent="0.3">
      <c r="A447" s="52" t="s">
        <v>23</v>
      </c>
      <c r="B447" s="52"/>
      <c r="C447" s="52"/>
      <c r="D447" s="52"/>
      <c r="E447" s="52"/>
      <c r="F447" s="52"/>
      <c r="G447" s="52"/>
      <c r="H447" s="52"/>
      <c r="I447" s="52"/>
    </row>
    <row r="449" spans="1:9" ht="49.5" x14ac:dyDescent="0.3">
      <c r="A449" s="53" t="s">
        <v>1</v>
      </c>
      <c r="B449" s="53" t="s">
        <v>2</v>
      </c>
      <c r="C449" s="53" t="s">
        <v>3</v>
      </c>
      <c r="D449" s="55" t="s">
        <v>4</v>
      </c>
      <c r="E449" s="55" t="s">
        <v>5</v>
      </c>
      <c r="F449" s="55" t="s">
        <v>6</v>
      </c>
      <c r="G449" s="55" t="s">
        <v>7</v>
      </c>
      <c r="H449" s="55" t="s">
        <v>8</v>
      </c>
      <c r="I449" s="5" t="s">
        <v>17</v>
      </c>
    </row>
    <row r="450" spans="1:9" x14ac:dyDescent="0.3">
      <c r="A450" s="56"/>
      <c r="B450" s="56"/>
      <c r="C450" s="56"/>
      <c r="D450" s="58">
        <v>46084</v>
      </c>
      <c r="E450" s="58">
        <f>D450</f>
        <v>46084</v>
      </c>
      <c r="F450" s="58">
        <f>E450</f>
        <v>46084</v>
      </c>
      <c r="G450" s="58">
        <f>F450</f>
        <v>46084</v>
      </c>
      <c r="H450" s="58">
        <f>G450</f>
        <v>46084</v>
      </c>
      <c r="I450" s="7">
        <f>H450</f>
        <v>46084</v>
      </c>
    </row>
    <row r="451" spans="1:9" x14ac:dyDescent="0.3">
      <c r="A451" s="35">
        <v>1</v>
      </c>
      <c r="B451" s="36" t="str">
        <f>B340</f>
        <v>Siti Rohmah</v>
      </c>
      <c r="C451" s="37">
        <f>I340</f>
        <v>13500000</v>
      </c>
      <c r="D451" s="11">
        <f>C451*3%</f>
        <v>405000</v>
      </c>
      <c r="E451" s="11"/>
      <c r="F451" s="11"/>
      <c r="G451" s="11"/>
      <c r="H451" s="11"/>
      <c r="I451" s="11">
        <f>C451+E451-F451+G451-H451</f>
        <v>13500000</v>
      </c>
    </row>
    <row r="452" spans="1:9" x14ac:dyDescent="0.3">
      <c r="A452" s="35">
        <v>2</v>
      </c>
      <c r="B452" s="36" t="str">
        <f t="shared" ref="B452:B511" si="17">B341</f>
        <v>Ali Muttaqin</v>
      </c>
      <c r="C452" s="37">
        <f t="shared" ref="C452:C512" si="18">I341</f>
        <v>4000000</v>
      </c>
      <c r="D452" s="11">
        <f t="shared" ref="D452:D465" si="19">C452*3%</f>
        <v>120000</v>
      </c>
      <c r="E452" s="11"/>
      <c r="F452" s="11"/>
      <c r="G452" s="11"/>
      <c r="H452" s="11"/>
      <c r="I452" s="11">
        <f t="shared" ref="I452:I512" si="20">C452+E452-F452+G452-H452</f>
        <v>4000000</v>
      </c>
    </row>
    <row r="453" spans="1:9" x14ac:dyDescent="0.3">
      <c r="A453" s="35">
        <v>3</v>
      </c>
      <c r="B453" s="36" t="str">
        <f t="shared" si="17"/>
        <v>Amnan</v>
      </c>
      <c r="C453" s="37">
        <f t="shared" si="18"/>
        <v>7900000</v>
      </c>
      <c r="D453" s="11">
        <f t="shared" si="19"/>
        <v>237000</v>
      </c>
      <c r="E453" s="11"/>
      <c r="F453" s="11"/>
      <c r="G453" s="11">
        <v>100000</v>
      </c>
      <c r="H453" s="11"/>
      <c r="I453" s="11">
        <f t="shared" si="20"/>
        <v>8000000</v>
      </c>
    </row>
    <row r="454" spans="1:9" x14ac:dyDescent="0.3">
      <c r="A454" s="35">
        <v>4</v>
      </c>
      <c r="B454" s="36" t="str">
        <f t="shared" si="17"/>
        <v>Bambang</v>
      </c>
      <c r="C454" s="37">
        <f t="shared" si="18"/>
        <v>7800000</v>
      </c>
      <c r="D454" s="11">
        <v>438000</v>
      </c>
      <c r="E454" s="11"/>
      <c r="F454" s="11"/>
      <c r="G454" s="11"/>
      <c r="H454" s="11"/>
      <c r="I454" s="11">
        <f t="shared" si="20"/>
        <v>7800000</v>
      </c>
    </row>
    <row r="455" spans="1:9" x14ac:dyDescent="0.3">
      <c r="A455" s="35">
        <v>5</v>
      </c>
      <c r="B455" s="36" t="str">
        <f t="shared" si="17"/>
        <v>Erham</v>
      </c>
      <c r="C455" s="37">
        <f t="shared" si="18"/>
        <v>5300000</v>
      </c>
      <c r="D455" s="11">
        <f t="shared" si="19"/>
        <v>159000</v>
      </c>
      <c r="E455" s="11"/>
      <c r="F455" s="11"/>
      <c r="G455" s="11"/>
      <c r="H455" s="11"/>
      <c r="I455" s="11">
        <f t="shared" si="20"/>
        <v>5300000</v>
      </c>
    </row>
    <row r="456" spans="1:9" x14ac:dyDescent="0.3">
      <c r="A456" s="35">
        <v>6</v>
      </c>
      <c r="B456" s="36" t="str">
        <f t="shared" si="17"/>
        <v>Estuningati</v>
      </c>
      <c r="C456" s="37">
        <f t="shared" si="18"/>
        <v>4000000</v>
      </c>
      <c r="D456" s="11">
        <f t="shared" si="19"/>
        <v>120000</v>
      </c>
      <c r="E456" s="11"/>
      <c r="F456" s="11"/>
      <c r="G456" s="11"/>
      <c r="H456" s="11"/>
      <c r="I456" s="11">
        <f t="shared" si="20"/>
        <v>4000000</v>
      </c>
    </row>
    <row r="457" spans="1:9" x14ac:dyDescent="0.3">
      <c r="A457" s="35">
        <v>7</v>
      </c>
      <c r="B457" s="36" t="str">
        <f t="shared" si="17"/>
        <v>Faisal (Subarin)</v>
      </c>
      <c r="C457" s="37">
        <f t="shared" si="18"/>
        <v>4000000</v>
      </c>
      <c r="D457" s="11">
        <v>240000</v>
      </c>
      <c r="E457" s="11"/>
      <c r="F457" s="11"/>
      <c r="G457" s="11"/>
      <c r="H457" s="11"/>
      <c r="I457" s="11">
        <f t="shared" si="20"/>
        <v>4000000</v>
      </c>
    </row>
    <row r="458" spans="1:9" x14ac:dyDescent="0.3">
      <c r="A458" s="35">
        <v>8</v>
      </c>
      <c r="B458" s="36" t="str">
        <f t="shared" si="17"/>
        <v>Hj. Nur Fadhilah</v>
      </c>
      <c r="C458" s="37">
        <f t="shared" si="18"/>
        <v>2000000</v>
      </c>
      <c r="D458" s="11">
        <f t="shared" si="19"/>
        <v>60000</v>
      </c>
      <c r="E458" s="11"/>
      <c r="F458" s="11"/>
      <c r="G458" s="11"/>
      <c r="H458" s="11"/>
      <c r="I458" s="11">
        <f t="shared" si="20"/>
        <v>2000000</v>
      </c>
    </row>
    <row r="459" spans="1:9" x14ac:dyDescent="0.3">
      <c r="A459" s="35">
        <v>9</v>
      </c>
      <c r="B459" s="36" t="str">
        <f t="shared" si="17"/>
        <v>Hanafi</v>
      </c>
      <c r="C459" s="37">
        <f t="shared" si="18"/>
        <v>1000000</v>
      </c>
      <c r="D459" s="11">
        <f t="shared" si="19"/>
        <v>30000</v>
      </c>
      <c r="E459" s="11"/>
      <c r="F459" s="11"/>
      <c r="G459" s="11"/>
      <c r="H459" s="11"/>
      <c r="I459" s="11">
        <f t="shared" si="20"/>
        <v>1000000</v>
      </c>
    </row>
    <row r="460" spans="1:9" x14ac:dyDescent="0.3">
      <c r="A460" s="35">
        <v>10</v>
      </c>
      <c r="B460" s="36" t="str">
        <f t="shared" si="17"/>
        <v>Hidayat</v>
      </c>
      <c r="C460" s="37">
        <f t="shared" si="18"/>
        <v>2000000</v>
      </c>
      <c r="D460" s="11">
        <f t="shared" si="19"/>
        <v>60000</v>
      </c>
      <c r="E460" s="11"/>
      <c r="F460" s="11"/>
      <c r="G460" s="11"/>
      <c r="H460" s="11"/>
      <c r="I460" s="11">
        <f t="shared" si="20"/>
        <v>2000000</v>
      </c>
    </row>
    <row r="461" spans="1:9" x14ac:dyDescent="0.3">
      <c r="A461" s="35">
        <v>11</v>
      </c>
      <c r="B461" s="36" t="str">
        <f t="shared" si="17"/>
        <v>Ika Tartila</v>
      </c>
      <c r="C461" s="37">
        <f t="shared" si="18"/>
        <v>3300000</v>
      </c>
      <c r="D461" s="11">
        <f t="shared" si="19"/>
        <v>99000</v>
      </c>
      <c r="E461" s="11"/>
      <c r="F461" s="11"/>
      <c r="G461" s="11"/>
      <c r="H461" s="11"/>
      <c r="I461" s="11">
        <f t="shared" si="20"/>
        <v>3300000</v>
      </c>
    </row>
    <row r="462" spans="1:9" x14ac:dyDescent="0.3">
      <c r="A462" s="35">
        <v>12</v>
      </c>
      <c r="B462" s="36" t="str">
        <f t="shared" si="17"/>
        <v>Jumiah 2</v>
      </c>
      <c r="C462" s="37">
        <f t="shared" si="18"/>
        <v>2000000</v>
      </c>
      <c r="D462" s="11">
        <f t="shared" si="19"/>
        <v>60000</v>
      </c>
      <c r="E462" s="11"/>
      <c r="F462" s="11"/>
      <c r="G462" s="11">
        <v>500000</v>
      </c>
      <c r="H462" s="11"/>
      <c r="I462" s="11">
        <f t="shared" si="20"/>
        <v>2500000</v>
      </c>
    </row>
    <row r="463" spans="1:9" x14ac:dyDescent="0.3">
      <c r="A463" s="35">
        <v>13</v>
      </c>
      <c r="B463" s="36" t="str">
        <f t="shared" si="17"/>
        <v>Kamari</v>
      </c>
      <c r="C463" s="37">
        <f t="shared" si="18"/>
        <v>7100000</v>
      </c>
      <c r="D463" s="11">
        <f t="shared" si="19"/>
        <v>213000</v>
      </c>
      <c r="E463" s="11"/>
      <c r="F463" s="11"/>
      <c r="G463" s="11"/>
      <c r="H463" s="11"/>
      <c r="I463" s="11">
        <f t="shared" si="20"/>
        <v>7100000</v>
      </c>
    </row>
    <row r="464" spans="1:9" x14ac:dyDescent="0.3">
      <c r="A464" s="35">
        <v>14</v>
      </c>
      <c r="B464" s="36" t="str">
        <f t="shared" si="17"/>
        <v xml:space="preserve">Kolidi </v>
      </c>
      <c r="C464" s="37">
        <f t="shared" si="18"/>
        <v>2500000</v>
      </c>
      <c r="D464" s="11">
        <f t="shared" si="19"/>
        <v>75000</v>
      </c>
      <c r="E464" s="11"/>
      <c r="F464" s="11"/>
      <c r="G464" s="11">
        <v>500000</v>
      </c>
      <c r="H464" s="11"/>
      <c r="I464" s="11">
        <f t="shared" si="20"/>
        <v>3000000</v>
      </c>
    </row>
    <row r="465" spans="1:9" x14ac:dyDescent="0.3">
      <c r="A465" s="35">
        <v>15</v>
      </c>
      <c r="B465" s="36" t="str">
        <f t="shared" si="17"/>
        <v>Kuspandi</v>
      </c>
      <c r="C465" s="37">
        <f t="shared" si="18"/>
        <v>1545000</v>
      </c>
      <c r="D465" s="11">
        <f t="shared" si="19"/>
        <v>46350</v>
      </c>
      <c r="E465" s="11"/>
      <c r="F465" s="11"/>
      <c r="G465" s="11"/>
      <c r="H465" s="11">
        <v>45000</v>
      </c>
      <c r="I465" s="11">
        <f t="shared" si="20"/>
        <v>1500000</v>
      </c>
    </row>
    <row r="466" spans="1:9" x14ac:dyDescent="0.3">
      <c r="A466" s="35">
        <v>16</v>
      </c>
      <c r="B466" s="36" t="str">
        <f t="shared" si="17"/>
        <v>Malikan</v>
      </c>
      <c r="C466" s="37">
        <f t="shared" si="18"/>
        <v>500000</v>
      </c>
      <c r="D466" s="11">
        <v>45000</v>
      </c>
      <c r="E466" s="11"/>
      <c r="F466" s="11"/>
      <c r="G466" s="11"/>
      <c r="H466" s="11"/>
      <c r="I466" s="11">
        <f t="shared" si="20"/>
        <v>500000</v>
      </c>
    </row>
    <row r="467" spans="1:9" x14ac:dyDescent="0.3">
      <c r="A467" s="35">
        <v>17</v>
      </c>
      <c r="B467" s="36" t="str">
        <f t="shared" si="17"/>
        <v xml:space="preserve">Mardiyah </v>
      </c>
      <c r="C467" s="37">
        <f t="shared" si="18"/>
        <v>11000000</v>
      </c>
      <c r="D467" s="11">
        <f>C467*3%</f>
        <v>330000</v>
      </c>
      <c r="E467" s="11"/>
      <c r="F467" s="11"/>
      <c r="G467" s="11"/>
      <c r="H467" s="11"/>
      <c r="I467" s="11">
        <f t="shared" si="20"/>
        <v>11000000</v>
      </c>
    </row>
    <row r="468" spans="1:9" x14ac:dyDescent="0.3">
      <c r="A468" s="35">
        <v>18</v>
      </c>
      <c r="B468" s="36" t="str">
        <f t="shared" si="17"/>
        <v>Matakrip</v>
      </c>
      <c r="C468" s="37">
        <f t="shared" si="18"/>
        <v>2000000</v>
      </c>
      <c r="D468" s="11">
        <f>C468*3%</f>
        <v>60000</v>
      </c>
      <c r="E468" s="11"/>
      <c r="F468" s="11"/>
      <c r="G468" s="11"/>
      <c r="H468" s="11"/>
      <c r="I468" s="11">
        <f t="shared" si="20"/>
        <v>2000000</v>
      </c>
    </row>
    <row r="469" spans="1:9" x14ac:dyDescent="0.3">
      <c r="A469" s="35">
        <v>19</v>
      </c>
      <c r="B469" s="36" t="str">
        <f t="shared" si="17"/>
        <v>Isti Umami</v>
      </c>
      <c r="C469" s="37">
        <f t="shared" si="18"/>
        <v>3900000</v>
      </c>
      <c r="D469" s="11">
        <f>C469*3%</f>
        <v>117000</v>
      </c>
      <c r="E469" s="11"/>
      <c r="F469" s="11"/>
      <c r="G469" s="11"/>
      <c r="H469" s="11"/>
      <c r="I469" s="11">
        <f t="shared" si="20"/>
        <v>3900000</v>
      </c>
    </row>
    <row r="470" spans="1:9" x14ac:dyDescent="0.3">
      <c r="A470" s="35">
        <v>20</v>
      </c>
      <c r="B470" s="36" t="str">
        <f t="shared" si="17"/>
        <v>Mathoha</v>
      </c>
      <c r="C470" s="37">
        <f t="shared" si="18"/>
        <v>3500000</v>
      </c>
      <c r="D470" s="11">
        <f>C470*3%</f>
        <v>105000</v>
      </c>
      <c r="E470" s="11"/>
      <c r="F470" s="11"/>
      <c r="G470" s="11"/>
      <c r="H470" s="11"/>
      <c r="I470" s="11">
        <f t="shared" si="20"/>
        <v>3500000</v>
      </c>
    </row>
    <row r="471" spans="1:9" x14ac:dyDescent="0.3">
      <c r="A471" s="35">
        <v>21</v>
      </c>
      <c r="B471" s="36" t="str">
        <f t="shared" si="17"/>
        <v>Matkasan</v>
      </c>
      <c r="C471" s="37">
        <f t="shared" si="18"/>
        <v>1000000</v>
      </c>
      <c r="D471" s="11">
        <v>162000</v>
      </c>
      <c r="E471" s="11"/>
      <c r="F471" s="11"/>
      <c r="G471" s="11"/>
      <c r="H471" s="11"/>
      <c r="I471" s="11">
        <f t="shared" si="20"/>
        <v>1000000</v>
      </c>
    </row>
    <row r="472" spans="1:9" x14ac:dyDescent="0.3">
      <c r="A472" s="35">
        <v>22</v>
      </c>
      <c r="B472" s="36" t="str">
        <f t="shared" si="17"/>
        <v>Umi Nadhiroh</v>
      </c>
      <c r="C472" s="37">
        <f t="shared" si="18"/>
        <v>4000000</v>
      </c>
      <c r="D472" s="11">
        <f t="shared" ref="D472:D478" si="21">C472*3%</f>
        <v>120000</v>
      </c>
      <c r="E472" s="11"/>
      <c r="F472" s="11"/>
      <c r="G472" s="11">
        <v>500000</v>
      </c>
      <c r="H472" s="11"/>
      <c r="I472" s="11">
        <f t="shared" si="20"/>
        <v>4500000</v>
      </c>
    </row>
    <row r="473" spans="1:9" x14ac:dyDescent="0.3">
      <c r="A473" s="35">
        <v>23</v>
      </c>
      <c r="B473" s="36" t="str">
        <f t="shared" si="17"/>
        <v>Mi'an</v>
      </c>
      <c r="C473" s="37">
        <f t="shared" si="18"/>
        <v>5700000</v>
      </c>
      <c r="D473" s="11">
        <f t="shared" si="21"/>
        <v>171000</v>
      </c>
      <c r="E473" s="11"/>
      <c r="F473" s="11"/>
      <c r="G473" s="11"/>
      <c r="H473" s="11"/>
      <c r="I473" s="11">
        <f t="shared" si="20"/>
        <v>5700000</v>
      </c>
    </row>
    <row r="474" spans="1:9" x14ac:dyDescent="0.3">
      <c r="A474" s="35">
        <v>24</v>
      </c>
      <c r="B474" s="36" t="str">
        <f t="shared" si="17"/>
        <v>Mu'minin</v>
      </c>
      <c r="C474" s="37">
        <f t="shared" si="18"/>
        <v>4000000</v>
      </c>
      <c r="D474" s="11">
        <v>242000</v>
      </c>
      <c r="E474" s="11"/>
      <c r="F474" s="11"/>
      <c r="G474" s="11"/>
      <c r="H474" s="11"/>
      <c r="I474" s="11">
        <f t="shared" si="20"/>
        <v>4000000</v>
      </c>
    </row>
    <row r="475" spans="1:9" x14ac:dyDescent="0.3">
      <c r="A475" s="35">
        <v>25</v>
      </c>
      <c r="B475" s="36" t="str">
        <f t="shared" si="17"/>
        <v>Munawar</v>
      </c>
      <c r="C475" s="37">
        <f t="shared" si="18"/>
        <v>3399000</v>
      </c>
      <c r="D475" s="11">
        <f t="shared" si="21"/>
        <v>101970</v>
      </c>
      <c r="E475" s="11"/>
      <c r="F475" s="11"/>
      <c r="G475" s="11"/>
      <c r="H475" s="11">
        <v>99000</v>
      </c>
      <c r="I475" s="11">
        <f t="shared" si="20"/>
        <v>3300000</v>
      </c>
    </row>
    <row r="476" spans="1:9" x14ac:dyDescent="0.3">
      <c r="A476" s="35">
        <v>26</v>
      </c>
      <c r="B476" s="36" t="str">
        <f t="shared" si="17"/>
        <v>Muslikatin</v>
      </c>
      <c r="C476" s="37">
        <f t="shared" si="18"/>
        <v>1000000</v>
      </c>
      <c r="D476" s="11">
        <f t="shared" si="21"/>
        <v>30000</v>
      </c>
      <c r="E476" s="11"/>
      <c r="F476" s="11"/>
      <c r="G476" s="11"/>
      <c r="H476" s="11"/>
      <c r="I476" s="11">
        <f t="shared" si="20"/>
        <v>1000000</v>
      </c>
    </row>
    <row r="477" spans="1:9" x14ac:dyDescent="0.3">
      <c r="A477" s="35">
        <v>27</v>
      </c>
      <c r="B477" s="36" t="str">
        <f t="shared" si="17"/>
        <v>Nurhadi</v>
      </c>
      <c r="C477" s="37">
        <f t="shared" si="18"/>
        <v>2000000</v>
      </c>
      <c r="D477" s="11">
        <f t="shared" si="21"/>
        <v>60000</v>
      </c>
      <c r="E477" s="11"/>
      <c r="F477" s="11"/>
      <c r="G477" s="11"/>
      <c r="H477" s="11"/>
      <c r="I477" s="11">
        <f t="shared" si="20"/>
        <v>2000000</v>
      </c>
    </row>
    <row r="478" spans="1:9" x14ac:dyDescent="0.3">
      <c r="A478" s="35">
        <v>28</v>
      </c>
      <c r="B478" s="36" t="str">
        <f t="shared" si="17"/>
        <v>Siti Nurmahmudah</v>
      </c>
      <c r="C478" s="37">
        <f t="shared" si="18"/>
        <v>7210000</v>
      </c>
      <c r="D478" s="11">
        <f t="shared" si="21"/>
        <v>216300</v>
      </c>
      <c r="E478" s="11"/>
      <c r="F478" s="11"/>
      <c r="G478" s="11"/>
      <c r="H478" s="11"/>
      <c r="I478" s="11">
        <f t="shared" si="20"/>
        <v>7210000</v>
      </c>
    </row>
    <row r="479" spans="1:9" x14ac:dyDescent="0.3">
      <c r="A479" s="35">
        <v>29</v>
      </c>
      <c r="B479" s="36" t="str">
        <f t="shared" si="17"/>
        <v>Saeman</v>
      </c>
      <c r="C479" s="37">
        <f t="shared" si="18"/>
        <v>7000000</v>
      </c>
      <c r="D479" s="11">
        <v>225000</v>
      </c>
      <c r="E479" s="11"/>
      <c r="F479" s="11"/>
      <c r="G479" s="11">
        <v>3000000</v>
      </c>
      <c r="H479" s="11"/>
      <c r="I479" s="11">
        <f t="shared" si="20"/>
        <v>10000000</v>
      </c>
    </row>
    <row r="480" spans="1:9" x14ac:dyDescent="0.3">
      <c r="A480" s="35">
        <v>30</v>
      </c>
      <c r="B480" s="36" t="str">
        <f t="shared" si="17"/>
        <v>Sarto</v>
      </c>
      <c r="C480" s="37">
        <f t="shared" si="18"/>
        <v>2000000</v>
      </c>
      <c r="D480" s="11">
        <f t="shared" ref="D480:D512" si="22">C480*3%</f>
        <v>60000</v>
      </c>
      <c r="E480" s="11"/>
      <c r="F480" s="11"/>
      <c r="G480" s="11"/>
      <c r="H480" s="11"/>
      <c r="I480" s="11">
        <f t="shared" si="20"/>
        <v>2000000</v>
      </c>
    </row>
    <row r="481" spans="1:9" x14ac:dyDescent="0.3">
      <c r="A481" s="35">
        <v>31</v>
      </c>
      <c r="B481" s="36" t="str">
        <f t="shared" si="17"/>
        <v>Sholik 9</v>
      </c>
      <c r="C481" s="37">
        <f t="shared" si="18"/>
        <v>21308177</v>
      </c>
      <c r="D481" s="11">
        <f t="shared" si="22"/>
        <v>639245.30999999994</v>
      </c>
      <c r="E481" s="11"/>
      <c r="F481" s="11"/>
      <c r="G481" s="11">
        <v>639245</v>
      </c>
      <c r="H481" s="11"/>
      <c r="I481" s="11">
        <f t="shared" si="20"/>
        <v>21947422</v>
      </c>
    </row>
    <row r="482" spans="1:9" x14ac:dyDescent="0.3">
      <c r="A482" s="35">
        <v>32</v>
      </c>
      <c r="B482" s="36" t="str">
        <f t="shared" si="17"/>
        <v>Siono</v>
      </c>
      <c r="C482" s="37">
        <f t="shared" si="18"/>
        <v>6180000</v>
      </c>
      <c r="D482" s="11">
        <f t="shared" si="22"/>
        <v>185400</v>
      </c>
      <c r="E482" s="11"/>
      <c r="F482" s="11"/>
      <c r="G482" s="11">
        <v>185400</v>
      </c>
      <c r="H482" s="11"/>
      <c r="I482" s="11">
        <f t="shared" si="20"/>
        <v>6365400</v>
      </c>
    </row>
    <row r="483" spans="1:9" x14ac:dyDescent="0.3">
      <c r="A483" s="35">
        <v>33</v>
      </c>
      <c r="B483" s="36" t="str">
        <f t="shared" si="17"/>
        <v>Sumadi</v>
      </c>
      <c r="C483" s="37">
        <f t="shared" si="18"/>
        <v>7500000</v>
      </c>
      <c r="D483" s="11">
        <f t="shared" si="22"/>
        <v>225000</v>
      </c>
      <c r="E483" s="11"/>
      <c r="F483" s="11"/>
      <c r="G483" s="11"/>
      <c r="H483" s="11"/>
      <c r="I483" s="11">
        <f t="shared" si="20"/>
        <v>7500000</v>
      </c>
    </row>
    <row r="484" spans="1:9" x14ac:dyDescent="0.3">
      <c r="A484" s="35">
        <v>34</v>
      </c>
      <c r="B484" s="36" t="str">
        <f t="shared" si="17"/>
        <v>Sumar</v>
      </c>
      <c r="C484" s="37">
        <f t="shared" si="18"/>
        <v>5000000</v>
      </c>
      <c r="D484" s="11">
        <f t="shared" si="22"/>
        <v>150000</v>
      </c>
      <c r="E484" s="11"/>
      <c r="F484" s="11"/>
      <c r="G484" s="11">
        <v>500000</v>
      </c>
      <c r="H484" s="11"/>
      <c r="I484" s="11">
        <f t="shared" si="20"/>
        <v>5500000</v>
      </c>
    </row>
    <row r="485" spans="1:9" x14ac:dyDescent="0.3">
      <c r="A485" s="35">
        <v>35</v>
      </c>
      <c r="B485" s="36" t="str">
        <f t="shared" si="17"/>
        <v>Sunamah</v>
      </c>
      <c r="C485" s="37">
        <f t="shared" si="18"/>
        <v>8000000</v>
      </c>
      <c r="D485" s="11">
        <f t="shared" si="22"/>
        <v>240000</v>
      </c>
      <c r="E485" s="11"/>
      <c r="F485" s="11"/>
      <c r="G485" s="11">
        <v>1000000</v>
      </c>
      <c r="H485" s="11"/>
      <c r="I485" s="11">
        <f t="shared" si="20"/>
        <v>9000000</v>
      </c>
    </row>
    <row r="486" spans="1:9" x14ac:dyDescent="0.3">
      <c r="A486" s="35">
        <v>36</v>
      </c>
      <c r="B486" s="36" t="str">
        <f t="shared" si="17"/>
        <v>Supiani</v>
      </c>
      <c r="C486" s="37">
        <f t="shared" si="18"/>
        <v>2000000</v>
      </c>
      <c r="D486" s="11">
        <f t="shared" si="22"/>
        <v>60000</v>
      </c>
      <c r="E486" s="11"/>
      <c r="F486" s="11"/>
      <c r="G486" s="11"/>
      <c r="H486" s="11"/>
      <c r="I486" s="11">
        <f t="shared" si="20"/>
        <v>2000000</v>
      </c>
    </row>
    <row r="487" spans="1:9" x14ac:dyDescent="0.3">
      <c r="A487" s="35">
        <v>37</v>
      </c>
      <c r="B487" s="36" t="str">
        <f t="shared" si="17"/>
        <v>Supriaji</v>
      </c>
      <c r="C487" s="37">
        <f t="shared" si="18"/>
        <v>12360000</v>
      </c>
      <c r="D487" s="11">
        <f t="shared" si="22"/>
        <v>370800</v>
      </c>
      <c r="E487" s="11"/>
      <c r="F487" s="11"/>
      <c r="G487" s="11">
        <v>360000</v>
      </c>
      <c r="H487" s="11"/>
      <c r="I487" s="11">
        <f t="shared" si="20"/>
        <v>12720000</v>
      </c>
    </row>
    <row r="488" spans="1:9" x14ac:dyDescent="0.3">
      <c r="A488" s="35">
        <v>38</v>
      </c>
      <c r="B488" s="36" t="str">
        <f t="shared" si="17"/>
        <v>Suwanan/Iksan</v>
      </c>
      <c r="C488" s="37">
        <f t="shared" si="18"/>
        <v>5000000</v>
      </c>
      <c r="D488" s="11">
        <f t="shared" si="22"/>
        <v>150000</v>
      </c>
      <c r="E488" s="11"/>
      <c r="F488" s="11"/>
      <c r="G488" s="11">
        <v>1000000</v>
      </c>
      <c r="H488" s="11"/>
      <c r="I488" s="11">
        <f t="shared" si="20"/>
        <v>6000000</v>
      </c>
    </row>
    <row r="489" spans="1:9" x14ac:dyDescent="0.3">
      <c r="A489" s="35">
        <v>39</v>
      </c>
      <c r="B489" s="36" t="str">
        <f t="shared" si="17"/>
        <v>Suwari</v>
      </c>
      <c r="C489" s="37">
        <f t="shared" si="18"/>
        <v>1030000</v>
      </c>
      <c r="D489" s="11">
        <f t="shared" si="22"/>
        <v>30900</v>
      </c>
      <c r="E489" s="11"/>
      <c r="F489" s="11"/>
      <c r="G489" s="11"/>
      <c r="H489" s="11">
        <v>30000</v>
      </c>
      <c r="I489" s="11">
        <f t="shared" si="20"/>
        <v>1000000</v>
      </c>
    </row>
    <row r="490" spans="1:9" x14ac:dyDescent="0.3">
      <c r="A490" s="35">
        <v>40</v>
      </c>
      <c r="B490" s="36" t="str">
        <f t="shared" si="17"/>
        <v>Suyono 2</v>
      </c>
      <c r="C490" s="37">
        <f t="shared" si="18"/>
        <v>8500000</v>
      </c>
      <c r="D490" s="11">
        <f t="shared" si="22"/>
        <v>255000</v>
      </c>
      <c r="E490" s="11"/>
      <c r="F490" s="11"/>
      <c r="G490" s="11"/>
      <c r="H490" s="11"/>
      <c r="I490" s="11">
        <f t="shared" si="20"/>
        <v>8500000</v>
      </c>
    </row>
    <row r="491" spans="1:9" x14ac:dyDescent="0.3">
      <c r="A491" s="35">
        <v>41</v>
      </c>
      <c r="B491" s="36" t="str">
        <f t="shared" si="17"/>
        <v>Tisno</v>
      </c>
      <c r="C491" s="37">
        <f t="shared" si="18"/>
        <v>2000000</v>
      </c>
      <c r="D491" s="11">
        <f t="shared" si="22"/>
        <v>60000</v>
      </c>
      <c r="E491" s="11"/>
      <c r="F491" s="11"/>
      <c r="G491" s="11"/>
      <c r="H491" s="11"/>
      <c r="I491" s="11">
        <f t="shared" si="20"/>
        <v>2000000</v>
      </c>
    </row>
    <row r="492" spans="1:9" x14ac:dyDescent="0.3">
      <c r="A492" s="35">
        <v>42</v>
      </c>
      <c r="B492" s="36" t="str">
        <f t="shared" si="17"/>
        <v>Umi Kulsum</v>
      </c>
      <c r="C492" s="37">
        <f t="shared" si="18"/>
        <v>4000000</v>
      </c>
      <c r="D492" s="11">
        <f t="shared" si="22"/>
        <v>120000</v>
      </c>
      <c r="E492" s="38"/>
      <c r="F492" s="38"/>
      <c r="G492" s="38"/>
      <c r="H492" s="11"/>
      <c r="I492" s="11">
        <f t="shared" si="20"/>
        <v>4000000</v>
      </c>
    </row>
    <row r="493" spans="1:9" x14ac:dyDescent="0.3">
      <c r="A493" s="35">
        <v>43</v>
      </c>
      <c r="B493" s="36" t="str">
        <f t="shared" si="17"/>
        <v>Rofiq</v>
      </c>
      <c r="C493" s="37">
        <f t="shared" si="18"/>
        <v>3000000</v>
      </c>
      <c r="D493" s="11">
        <f t="shared" si="22"/>
        <v>90000</v>
      </c>
      <c r="E493" s="38"/>
      <c r="F493" s="38"/>
      <c r="G493" s="38">
        <v>1000000</v>
      </c>
      <c r="H493" s="11"/>
      <c r="I493" s="11">
        <f t="shared" si="20"/>
        <v>4000000</v>
      </c>
    </row>
    <row r="494" spans="1:9" x14ac:dyDescent="0.3">
      <c r="A494" s="35">
        <v>44</v>
      </c>
      <c r="B494" s="36" t="str">
        <f t="shared" si="17"/>
        <v>Zumaroh</v>
      </c>
      <c r="C494" s="37">
        <f t="shared" si="18"/>
        <v>3000000</v>
      </c>
      <c r="D494" s="11">
        <f t="shared" si="22"/>
        <v>90000</v>
      </c>
      <c r="E494" s="38"/>
      <c r="F494" s="38"/>
      <c r="G494" s="38"/>
      <c r="H494" s="11"/>
      <c r="I494" s="11">
        <f t="shared" si="20"/>
        <v>3000000</v>
      </c>
    </row>
    <row r="495" spans="1:9" x14ac:dyDescent="0.3">
      <c r="A495" s="35">
        <v>45</v>
      </c>
      <c r="B495" s="36" t="str">
        <f t="shared" si="17"/>
        <v>Ning Husniah</v>
      </c>
      <c r="C495" s="37">
        <f t="shared" si="18"/>
        <v>1000000</v>
      </c>
      <c r="D495" s="11">
        <f t="shared" si="22"/>
        <v>30000</v>
      </c>
      <c r="E495" s="11"/>
      <c r="F495" s="11"/>
      <c r="G495" s="11"/>
      <c r="H495" s="11"/>
      <c r="I495" s="11">
        <f t="shared" si="20"/>
        <v>1000000</v>
      </c>
    </row>
    <row r="496" spans="1:9" x14ac:dyDescent="0.3">
      <c r="A496" s="39">
        <v>46</v>
      </c>
      <c r="B496" s="36" t="str">
        <f t="shared" si="17"/>
        <v>Lu'luur R</v>
      </c>
      <c r="C496" s="37">
        <f t="shared" si="18"/>
        <v>7000000</v>
      </c>
      <c r="D496" s="40">
        <f t="shared" si="22"/>
        <v>210000</v>
      </c>
      <c r="E496" s="41"/>
      <c r="F496" s="41"/>
      <c r="G496" s="41"/>
      <c r="H496" s="40"/>
      <c r="I496" s="11">
        <f t="shared" si="20"/>
        <v>7000000</v>
      </c>
    </row>
    <row r="497" spans="1:9" x14ac:dyDescent="0.3">
      <c r="A497" s="35">
        <v>47</v>
      </c>
      <c r="B497" s="36" t="str">
        <f t="shared" si="17"/>
        <v>Umar</v>
      </c>
      <c r="C497" s="37">
        <f t="shared" si="18"/>
        <v>2500000</v>
      </c>
      <c r="D497" s="11">
        <f t="shared" si="22"/>
        <v>75000</v>
      </c>
      <c r="E497" s="38"/>
      <c r="F497" s="38"/>
      <c r="G497" s="38"/>
      <c r="H497" s="11"/>
      <c r="I497" s="11">
        <f t="shared" si="20"/>
        <v>2500000</v>
      </c>
    </row>
    <row r="498" spans="1:9" x14ac:dyDescent="0.3">
      <c r="A498" s="35">
        <v>48</v>
      </c>
      <c r="B498" s="36" t="str">
        <f t="shared" si="17"/>
        <v>Ana/Bu Khoiri</v>
      </c>
      <c r="C498" s="37">
        <f t="shared" si="18"/>
        <v>1000000</v>
      </c>
      <c r="D498" s="11">
        <f t="shared" si="22"/>
        <v>30000</v>
      </c>
      <c r="E498" s="11"/>
      <c r="F498" s="11"/>
      <c r="G498" s="11"/>
      <c r="H498" s="11"/>
      <c r="I498" s="11">
        <f t="shared" si="20"/>
        <v>1000000</v>
      </c>
    </row>
    <row r="499" spans="1:9" x14ac:dyDescent="0.3">
      <c r="A499" s="35">
        <v>49</v>
      </c>
      <c r="B499" s="36" t="str">
        <f t="shared" si="17"/>
        <v>Anik Mahsunah W</v>
      </c>
      <c r="C499" s="37">
        <f t="shared" si="18"/>
        <v>1000000</v>
      </c>
      <c r="D499" s="11">
        <f t="shared" si="22"/>
        <v>30000</v>
      </c>
      <c r="E499" s="11"/>
      <c r="F499" s="11"/>
      <c r="G499" s="11"/>
      <c r="H499" s="11"/>
      <c r="I499" s="11">
        <f t="shared" si="20"/>
        <v>1000000</v>
      </c>
    </row>
    <row r="500" spans="1:9" x14ac:dyDescent="0.3">
      <c r="A500" s="35">
        <v>50</v>
      </c>
      <c r="B500" s="36" t="str">
        <f t="shared" si="17"/>
        <v>Fajrul Ummah</v>
      </c>
      <c r="C500" s="37">
        <f t="shared" si="18"/>
        <v>17504850</v>
      </c>
      <c r="D500" s="11">
        <f t="shared" si="22"/>
        <v>525145.5</v>
      </c>
      <c r="E500" s="11"/>
      <c r="F500" s="11"/>
      <c r="G500" s="11">
        <v>525146</v>
      </c>
      <c r="H500" s="11"/>
      <c r="I500" s="11">
        <f t="shared" si="20"/>
        <v>18029996</v>
      </c>
    </row>
    <row r="501" spans="1:9" x14ac:dyDescent="0.3">
      <c r="A501" s="35">
        <v>51</v>
      </c>
      <c r="B501" s="36" t="str">
        <f t="shared" si="17"/>
        <v>Imam Masrodin</v>
      </c>
      <c r="C501" s="37">
        <f t="shared" si="18"/>
        <v>500000</v>
      </c>
      <c r="D501" s="11">
        <f t="shared" si="22"/>
        <v>15000</v>
      </c>
      <c r="E501" s="11"/>
      <c r="F501" s="11"/>
      <c r="G501" s="11"/>
      <c r="H501" s="11"/>
      <c r="I501" s="11">
        <f t="shared" si="20"/>
        <v>500000</v>
      </c>
    </row>
    <row r="502" spans="1:9" x14ac:dyDescent="0.3">
      <c r="A502" s="35">
        <v>52</v>
      </c>
      <c r="B502" s="36" t="str">
        <f t="shared" si="17"/>
        <v>Muayanah</v>
      </c>
      <c r="C502" s="37">
        <f t="shared" si="18"/>
        <v>9800000</v>
      </c>
      <c r="D502" s="11">
        <f t="shared" si="22"/>
        <v>294000</v>
      </c>
      <c r="E502" s="38"/>
      <c r="F502" s="38"/>
      <c r="G502" s="38">
        <v>500000</v>
      </c>
      <c r="H502" s="11"/>
      <c r="I502" s="11">
        <f t="shared" si="20"/>
        <v>10300000</v>
      </c>
    </row>
    <row r="503" spans="1:9" x14ac:dyDescent="0.3">
      <c r="A503" s="35">
        <v>53</v>
      </c>
      <c r="B503" s="36" t="str">
        <f t="shared" si="17"/>
        <v>Siswanto</v>
      </c>
      <c r="C503" s="37">
        <f t="shared" si="18"/>
        <v>3000000</v>
      </c>
      <c r="D503" s="11">
        <f t="shared" si="22"/>
        <v>90000</v>
      </c>
      <c r="E503" s="38"/>
      <c r="F503" s="38"/>
      <c r="G503" s="38"/>
      <c r="H503" s="11"/>
      <c r="I503" s="11">
        <f t="shared" si="20"/>
        <v>3000000</v>
      </c>
    </row>
    <row r="504" spans="1:9" x14ac:dyDescent="0.3">
      <c r="A504" s="35">
        <v>54</v>
      </c>
      <c r="B504" s="36" t="str">
        <f t="shared" si="17"/>
        <v>Bin Asiyah</v>
      </c>
      <c r="C504" s="37">
        <f t="shared" si="18"/>
        <v>6000000</v>
      </c>
      <c r="D504" s="11">
        <f t="shared" si="22"/>
        <v>180000</v>
      </c>
      <c r="E504" s="38"/>
      <c r="F504" s="38"/>
      <c r="G504" s="38"/>
      <c r="H504" s="11"/>
      <c r="I504" s="11">
        <f t="shared" si="20"/>
        <v>6000000</v>
      </c>
    </row>
    <row r="505" spans="1:9" x14ac:dyDescent="0.3">
      <c r="A505" s="35">
        <v>55</v>
      </c>
      <c r="B505" s="36" t="str">
        <f t="shared" si="17"/>
        <v>Tayem</v>
      </c>
      <c r="C505" s="37">
        <f t="shared" si="18"/>
        <v>14500000</v>
      </c>
      <c r="D505" s="11">
        <f t="shared" si="22"/>
        <v>435000</v>
      </c>
      <c r="E505" s="38"/>
      <c r="F505" s="38"/>
      <c r="G505" s="38"/>
      <c r="H505" s="11"/>
      <c r="I505" s="11">
        <f t="shared" si="20"/>
        <v>14500000</v>
      </c>
    </row>
    <row r="506" spans="1:9" x14ac:dyDescent="0.3">
      <c r="A506" s="35">
        <v>56</v>
      </c>
      <c r="B506" s="36" t="str">
        <f t="shared" si="17"/>
        <v>Sholahuddin Afif</v>
      </c>
      <c r="C506" s="37">
        <f t="shared" si="18"/>
        <v>15000000</v>
      </c>
      <c r="D506" s="11">
        <f t="shared" si="22"/>
        <v>450000</v>
      </c>
      <c r="E506" s="38"/>
      <c r="F506" s="38"/>
      <c r="G506" s="38"/>
      <c r="H506" s="11"/>
      <c r="I506" s="11">
        <f t="shared" si="20"/>
        <v>15000000</v>
      </c>
    </row>
    <row r="507" spans="1:9" x14ac:dyDescent="0.3">
      <c r="A507" s="35">
        <v>57</v>
      </c>
      <c r="B507" s="36" t="str">
        <f t="shared" si="17"/>
        <v>Masithah</v>
      </c>
      <c r="C507" s="37">
        <f t="shared" si="18"/>
        <v>1000000</v>
      </c>
      <c r="D507" s="11">
        <f t="shared" si="22"/>
        <v>30000</v>
      </c>
      <c r="E507" s="38"/>
      <c r="F507" s="38"/>
      <c r="G507" s="38"/>
      <c r="H507" s="38"/>
      <c r="I507" s="11">
        <f t="shared" si="20"/>
        <v>1000000</v>
      </c>
    </row>
    <row r="508" spans="1:9" x14ac:dyDescent="0.3">
      <c r="A508" s="35">
        <v>58</v>
      </c>
      <c r="B508" s="36" t="str">
        <f t="shared" si="17"/>
        <v>Rikayati</v>
      </c>
      <c r="C508" s="37">
        <f t="shared" si="18"/>
        <v>2000000</v>
      </c>
      <c r="D508" s="11">
        <f t="shared" si="22"/>
        <v>60000</v>
      </c>
      <c r="E508" s="11"/>
      <c r="F508" s="11"/>
      <c r="G508" s="11"/>
      <c r="H508" s="11"/>
      <c r="I508" s="11">
        <f t="shared" si="20"/>
        <v>2000000</v>
      </c>
    </row>
    <row r="509" spans="1:9" x14ac:dyDescent="0.3">
      <c r="A509" s="35">
        <v>59</v>
      </c>
      <c r="B509" s="36" t="str">
        <f t="shared" si="17"/>
        <v>Misbahuddin</v>
      </c>
      <c r="C509" s="37">
        <f t="shared" si="18"/>
        <v>2000000</v>
      </c>
      <c r="D509" s="11">
        <f t="shared" si="22"/>
        <v>60000</v>
      </c>
      <c r="E509" s="11"/>
      <c r="F509" s="11"/>
      <c r="G509" s="11"/>
      <c r="H509" s="11"/>
      <c r="I509" s="11">
        <f t="shared" si="20"/>
        <v>2000000</v>
      </c>
    </row>
    <row r="510" spans="1:9" x14ac:dyDescent="0.3">
      <c r="A510" s="35">
        <v>60</v>
      </c>
      <c r="B510" s="36" t="str">
        <f t="shared" si="17"/>
        <v>Munisah</v>
      </c>
      <c r="C510" s="37">
        <f t="shared" si="18"/>
        <v>1500000</v>
      </c>
      <c r="D510" s="11">
        <f t="shared" si="22"/>
        <v>45000</v>
      </c>
      <c r="E510" s="11"/>
      <c r="F510" s="11"/>
      <c r="G510" s="11"/>
      <c r="H510" s="11"/>
      <c r="I510" s="11">
        <f t="shared" si="20"/>
        <v>1500000</v>
      </c>
    </row>
    <row r="511" spans="1:9" x14ac:dyDescent="0.3">
      <c r="A511" s="35">
        <v>61</v>
      </c>
      <c r="B511" s="36">
        <f t="shared" si="17"/>
        <v>0</v>
      </c>
      <c r="C511" s="37">
        <f t="shared" si="18"/>
        <v>0</v>
      </c>
      <c r="D511" s="11">
        <f t="shared" si="22"/>
        <v>0</v>
      </c>
      <c r="E511" s="38"/>
      <c r="F511" s="11"/>
      <c r="G511" s="11"/>
      <c r="H511" s="11"/>
      <c r="I511" s="11">
        <f t="shared" si="20"/>
        <v>0</v>
      </c>
    </row>
    <row r="512" spans="1:9" x14ac:dyDescent="0.3">
      <c r="A512" s="35">
        <v>62</v>
      </c>
      <c r="B512" s="36">
        <f>B401</f>
        <v>0</v>
      </c>
      <c r="C512" s="37">
        <f t="shared" si="18"/>
        <v>0</v>
      </c>
      <c r="D512" s="11">
        <f t="shared" si="22"/>
        <v>0</v>
      </c>
      <c r="E512" s="38"/>
      <c r="F512" s="43"/>
      <c r="G512" s="11"/>
      <c r="H512" s="11"/>
      <c r="I512" s="11">
        <f t="shared" si="20"/>
        <v>0</v>
      </c>
    </row>
    <row r="513" spans="1:9" ht="17.25" thickBot="1" x14ac:dyDescent="0.35">
      <c r="A513" s="44" t="s">
        <v>13</v>
      </c>
      <c r="B513" s="45"/>
      <c r="C513" s="46">
        <f t="shared" ref="C513:I513" si="23">SUM(C451:C512)</f>
        <v>300337027</v>
      </c>
      <c r="D513" s="47">
        <f t="shared" si="23"/>
        <v>9633110.8099999987</v>
      </c>
      <c r="E513" s="15">
        <f t="shared" si="23"/>
        <v>0</v>
      </c>
      <c r="F513" s="15">
        <f t="shared" si="23"/>
        <v>0</v>
      </c>
      <c r="G513" s="16">
        <f t="shared" si="23"/>
        <v>10309791</v>
      </c>
      <c r="H513" s="16">
        <f t="shared" si="23"/>
        <v>174000</v>
      </c>
      <c r="I513" s="17">
        <f t="shared" si="23"/>
        <v>310472818</v>
      </c>
    </row>
    <row r="514" spans="1:9" x14ac:dyDescent="0.3">
      <c r="C514" s="49"/>
      <c r="D514" s="50"/>
      <c r="E514" s="50"/>
      <c r="F514" s="50"/>
      <c r="I514" s="19"/>
    </row>
    <row r="515" spans="1:9" x14ac:dyDescent="0.3">
      <c r="H515" s="2" t="s">
        <v>24</v>
      </c>
    </row>
    <row r="519" spans="1:9" s="3" customFormat="1" x14ac:dyDescent="0.3">
      <c r="A519" s="2"/>
      <c r="B519" s="2"/>
      <c r="C519" s="2"/>
      <c r="D519" s="2"/>
      <c r="E519" s="2"/>
      <c r="F519" s="2"/>
      <c r="G519" s="2"/>
      <c r="H519" s="51" t="s">
        <v>15</v>
      </c>
    </row>
    <row r="558" spans="1:9" ht="20.25" x14ac:dyDescent="0.3">
      <c r="A558" s="52" t="s">
        <v>25</v>
      </c>
      <c r="B558" s="52"/>
      <c r="C558" s="52"/>
      <c r="D558" s="52"/>
      <c r="E558" s="52"/>
      <c r="F558" s="52"/>
      <c r="G558" s="52"/>
      <c r="H558" s="52"/>
      <c r="I558" s="52"/>
    </row>
    <row r="560" spans="1:9" ht="49.5" x14ac:dyDescent="0.3">
      <c r="A560" s="53" t="s">
        <v>1</v>
      </c>
      <c r="B560" s="53" t="s">
        <v>2</v>
      </c>
      <c r="C560" s="53" t="s">
        <v>3</v>
      </c>
      <c r="D560" s="55" t="s">
        <v>4</v>
      </c>
      <c r="E560" s="55" t="s">
        <v>5</v>
      </c>
      <c r="F560" s="55" t="s">
        <v>6</v>
      </c>
      <c r="G560" s="55" t="s">
        <v>7</v>
      </c>
      <c r="H560" s="55" t="s">
        <v>8</v>
      </c>
      <c r="I560" s="5" t="s">
        <v>17</v>
      </c>
    </row>
    <row r="561" spans="1:9" x14ac:dyDescent="0.3">
      <c r="A561" s="56"/>
      <c r="B561" s="56"/>
      <c r="C561" s="56"/>
      <c r="D561" s="58">
        <v>46115</v>
      </c>
      <c r="E561" s="58">
        <f>D561</f>
        <v>46115</v>
      </c>
      <c r="F561" s="58">
        <f>E561</f>
        <v>46115</v>
      </c>
      <c r="G561" s="58">
        <f>F561</f>
        <v>46115</v>
      </c>
      <c r="H561" s="58">
        <f>G561</f>
        <v>46115</v>
      </c>
      <c r="I561" s="58">
        <f>H561</f>
        <v>46115</v>
      </c>
    </row>
    <row r="562" spans="1:9" x14ac:dyDescent="0.3">
      <c r="A562" s="35">
        <v>1</v>
      </c>
      <c r="B562" s="36" t="str">
        <f>B451</f>
        <v>Siti Rohmah</v>
      </c>
      <c r="C562" s="37">
        <f t="shared" ref="C562:C623" si="24">I451</f>
        <v>13500000</v>
      </c>
      <c r="D562" s="11">
        <f>C562*3%</f>
        <v>405000</v>
      </c>
      <c r="E562" s="11"/>
      <c r="F562" s="11"/>
      <c r="G562" s="60"/>
      <c r="H562" s="11"/>
      <c r="I562" s="11">
        <f t="shared" ref="I562:I624" si="25">C562+E562-F562+G562-H562</f>
        <v>13500000</v>
      </c>
    </row>
    <row r="563" spans="1:9" x14ac:dyDescent="0.3">
      <c r="A563" s="35">
        <v>2</v>
      </c>
      <c r="B563" s="36" t="str">
        <f t="shared" ref="B563:B623" si="26">B452</f>
        <v>Ali Muttaqin</v>
      </c>
      <c r="C563" s="37">
        <f t="shared" si="24"/>
        <v>4000000</v>
      </c>
      <c r="D563" s="11">
        <f t="shared" ref="D563:D623" si="27">C563*3%</f>
        <v>120000</v>
      </c>
      <c r="E563" s="11"/>
      <c r="F563" s="11"/>
      <c r="G563" s="11">
        <v>1000000</v>
      </c>
      <c r="H563" s="11"/>
      <c r="I563" s="11">
        <f t="shared" si="25"/>
        <v>5000000</v>
      </c>
    </row>
    <row r="564" spans="1:9" x14ac:dyDescent="0.3">
      <c r="A564" s="35">
        <v>3</v>
      </c>
      <c r="B564" s="36" t="str">
        <f t="shared" si="26"/>
        <v>Amnan</v>
      </c>
      <c r="C564" s="37">
        <f t="shared" si="24"/>
        <v>8000000</v>
      </c>
      <c r="D564" s="11">
        <f t="shared" si="27"/>
        <v>240000</v>
      </c>
      <c r="E564" s="11"/>
      <c r="F564" s="11"/>
      <c r="G564" s="11">
        <v>2000000</v>
      </c>
      <c r="H564" s="11"/>
      <c r="I564" s="11">
        <f t="shared" si="25"/>
        <v>10000000</v>
      </c>
    </row>
    <row r="565" spans="1:9" x14ac:dyDescent="0.3">
      <c r="A565" s="35">
        <v>4</v>
      </c>
      <c r="B565" s="36" t="str">
        <f t="shared" si="26"/>
        <v>Bambang</v>
      </c>
      <c r="C565" s="37">
        <f t="shared" si="24"/>
        <v>7800000</v>
      </c>
      <c r="D565" s="11">
        <f t="shared" si="27"/>
        <v>234000</v>
      </c>
      <c r="E565" s="11"/>
      <c r="F565" s="11"/>
      <c r="G565" s="11"/>
      <c r="H565" s="11"/>
      <c r="I565" s="11">
        <f t="shared" si="25"/>
        <v>7800000</v>
      </c>
    </row>
    <row r="566" spans="1:9" x14ac:dyDescent="0.3">
      <c r="A566" s="35">
        <v>5</v>
      </c>
      <c r="B566" s="36" t="str">
        <f t="shared" si="26"/>
        <v>Erham</v>
      </c>
      <c r="C566" s="37">
        <f t="shared" si="24"/>
        <v>5300000</v>
      </c>
      <c r="D566" s="11">
        <f t="shared" si="27"/>
        <v>159000</v>
      </c>
      <c r="E566" s="11"/>
      <c r="F566" s="11"/>
      <c r="G566" s="11"/>
      <c r="H566" s="11"/>
      <c r="I566" s="11">
        <f t="shared" si="25"/>
        <v>5300000</v>
      </c>
    </row>
    <row r="567" spans="1:9" x14ac:dyDescent="0.3">
      <c r="A567" s="35">
        <v>6</v>
      </c>
      <c r="B567" s="36" t="str">
        <f t="shared" si="26"/>
        <v>Estuningati</v>
      </c>
      <c r="C567" s="37">
        <f t="shared" si="24"/>
        <v>4000000</v>
      </c>
      <c r="D567" s="11">
        <f t="shared" si="27"/>
        <v>120000</v>
      </c>
      <c r="E567" s="11"/>
      <c r="F567" s="11"/>
      <c r="G567" s="11"/>
      <c r="H567" s="11"/>
      <c r="I567" s="11">
        <f t="shared" si="25"/>
        <v>4000000</v>
      </c>
    </row>
    <row r="568" spans="1:9" x14ac:dyDescent="0.3">
      <c r="A568" s="35">
        <v>7</v>
      </c>
      <c r="B568" s="36" t="str">
        <f t="shared" si="26"/>
        <v>Faisal (Subarin)</v>
      </c>
      <c r="C568" s="37">
        <f t="shared" si="24"/>
        <v>4000000</v>
      </c>
      <c r="D568" s="11">
        <v>120000</v>
      </c>
      <c r="E568" s="11"/>
      <c r="F568" s="11"/>
      <c r="G568" s="11">
        <v>120000</v>
      </c>
      <c r="H568" s="11"/>
      <c r="I568" s="11">
        <f t="shared" si="25"/>
        <v>4120000</v>
      </c>
    </row>
    <row r="569" spans="1:9" x14ac:dyDescent="0.3">
      <c r="A569" s="35">
        <v>8</v>
      </c>
      <c r="B569" s="36" t="str">
        <f t="shared" si="26"/>
        <v>Hj. Nur Fadhilah</v>
      </c>
      <c r="C569" s="37">
        <f t="shared" si="24"/>
        <v>2000000</v>
      </c>
      <c r="D569" s="11">
        <f t="shared" si="27"/>
        <v>60000</v>
      </c>
      <c r="E569" s="11"/>
      <c r="F569" s="11"/>
      <c r="G569" s="11"/>
      <c r="H569" s="11"/>
      <c r="I569" s="11">
        <f t="shared" si="25"/>
        <v>2000000</v>
      </c>
    </row>
    <row r="570" spans="1:9" x14ac:dyDescent="0.3">
      <c r="A570" s="35">
        <v>9</v>
      </c>
      <c r="B570" s="36" t="str">
        <f t="shared" si="26"/>
        <v>Hanafi</v>
      </c>
      <c r="C570" s="37">
        <f t="shared" si="24"/>
        <v>1000000</v>
      </c>
      <c r="D570" s="11">
        <f t="shared" si="27"/>
        <v>30000</v>
      </c>
      <c r="E570" s="11"/>
      <c r="F570" s="11"/>
      <c r="G570" s="11"/>
      <c r="H570" s="11"/>
      <c r="I570" s="11">
        <f t="shared" si="25"/>
        <v>1000000</v>
      </c>
    </row>
    <row r="571" spans="1:9" x14ac:dyDescent="0.3">
      <c r="A571" s="35">
        <v>10</v>
      </c>
      <c r="B571" s="36" t="str">
        <f t="shared" si="26"/>
        <v>Hidayat</v>
      </c>
      <c r="C571" s="37">
        <f t="shared" si="24"/>
        <v>2000000</v>
      </c>
      <c r="D571" s="11">
        <f t="shared" si="27"/>
        <v>60000</v>
      </c>
      <c r="E571" s="11"/>
      <c r="F571" s="11"/>
      <c r="G571" s="11"/>
      <c r="H571" s="11"/>
      <c r="I571" s="11">
        <f t="shared" si="25"/>
        <v>2000000</v>
      </c>
    </row>
    <row r="572" spans="1:9" x14ac:dyDescent="0.3">
      <c r="A572" s="35">
        <v>11</v>
      </c>
      <c r="B572" s="36" t="str">
        <f t="shared" si="26"/>
        <v>Ika Tartila</v>
      </c>
      <c r="C572" s="37">
        <f t="shared" si="24"/>
        <v>3300000</v>
      </c>
      <c r="D572" s="11">
        <f t="shared" si="27"/>
        <v>99000</v>
      </c>
      <c r="E572" s="11"/>
      <c r="F572" s="11"/>
      <c r="G572" s="11">
        <v>99000</v>
      </c>
      <c r="H572" s="11"/>
      <c r="I572" s="11">
        <f t="shared" si="25"/>
        <v>3399000</v>
      </c>
    </row>
    <row r="573" spans="1:9" x14ac:dyDescent="0.3">
      <c r="A573" s="35">
        <v>12</v>
      </c>
      <c r="B573" s="36" t="str">
        <f t="shared" si="26"/>
        <v>Jumiah 2</v>
      </c>
      <c r="C573" s="37">
        <f t="shared" si="24"/>
        <v>2500000</v>
      </c>
      <c r="D573" s="11">
        <f t="shared" si="27"/>
        <v>75000</v>
      </c>
      <c r="E573" s="11"/>
      <c r="F573" s="11"/>
      <c r="G573" s="11"/>
      <c r="H573" s="11"/>
      <c r="I573" s="11">
        <f t="shared" si="25"/>
        <v>2500000</v>
      </c>
    </row>
    <row r="574" spans="1:9" x14ac:dyDescent="0.3">
      <c r="A574" s="35">
        <v>13</v>
      </c>
      <c r="B574" s="36" t="str">
        <f t="shared" si="26"/>
        <v>Kamari</v>
      </c>
      <c r="C574" s="37">
        <f t="shared" si="24"/>
        <v>7100000</v>
      </c>
      <c r="D574" s="11">
        <f t="shared" si="27"/>
        <v>213000</v>
      </c>
      <c r="E574" s="11"/>
      <c r="F574" s="11"/>
      <c r="G574" s="11"/>
      <c r="H574" s="11"/>
      <c r="I574" s="11">
        <f t="shared" si="25"/>
        <v>7100000</v>
      </c>
    </row>
    <row r="575" spans="1:9" x14ac:dyDescent="0.3">
      <c r="A575" s="35">
        <v>14</v>
      </c>
      <c r="B575" s="36" t="str">
        <f t="shared" si="26"/>
        <v xml:space="preserve">Kolidi </v>
      </c>
      <c r="C575" s="37">
        <f t="shared" si="24"/>
        <v>3000000</v>
      </c>
      <c r="D575" s="11">
        <f t="shared" si="27"/>
        <v>90000</v>
      </c>
      <c r="E575" s="11"/>
      <c r="F575" s="11"/>
      <c r="G575" s="11"/>
      <c r="H575" s="11"/>
      <c r="I575" s="11">
        <f t="shared" si="25"/>
        <v>3000000</v>
      </c>
    </row>
    <row r="576" spans="1:9" x14ac:dyDescent="0.3">
      <c r="A576" s="35">
        <v>15</v>
      </c>
      <c r="B576" s="36" t="str">
        <f t="shared" si="26"/>
        <v>Kuspandi</v>
      </c>
      <c r="C576" s="37">
        <f t="shared" si="24"/>
        <v>1500000</v>
      </c>
      <c r="D576" s="11">
        <f t="shared" si="27"/>
        <v>45000</v>
      </c>
      <c r="E576" s="11"/>
      <c r="F576" s="11"/>
      <c r="G576" s="11"/>
      <c r="H576" s="11"/>
      <c r="I576" s="11">
        <f t="shared" si="25"/>
        <v>1500000</v>
      </c>
    </row>
    <row r="577" spans="1:9" x14ac:dyDescent="0.3">
      <c r="A577" s="35">
        <v>16</v>
      </c>
      <c r="B577" s="36" t="str">
        <f t="shared" si="26"/>
        <v>Malikan</v>
      </c>
      <c r="C577" s="37">
        <f t="shared" si="24"/>
        <v>500000</v>
      </c>
      <c r="D577" s="11">
        <f t="shared" si="27"/>
        <v>15000</v>
      </c>
      <c r="E577" s="11"/>
      <c r="F577" s="11"/>
      <c r="G577" s="11"/>
      <c r="H577" s="11"/>
      <c r="I577" s="11">
        <f t="shared" si="25"/>
        <v>500000</v>
      </c>
    </row>
    <row r="578" spans="1:9" x14ac:dyDescent="0.3">
      <c r="A578" s="35">
        <v>17</v>
      </c>
      <c r="B578" s="36" t="str">
        <f t="shared" si="26"/>
        <v xml:space="preserve">Mardiyah </v>
      </c>
      <c r="C578" s="37">
        <f t="shared" si="24"/>
        <v>11000000</v>
      </c>
      <c r="D578" s="11">
        <f t="shared" si="27"/>
        <v>330000</v>
      </c>
      <c r="E578" s="11"/>
      <c r="F578" s="11"/>
      <c r="G578" s="11"/>
      <c r="H578" s="11"/>
      <c r="I578" s="11">
        <f t="shared" si="25"/>
        <v>11000000</v>
      </c>
    </row>
    <row r="579" spans="1:9" x14ac:dyDescent="0.3">
      <c r="A579" s="35">
        <v>18</v>
      </c>
      <c r="B579" s="36" t="str">
        <f t="shared" si="26"/>
        <v>Matakrip</v>
      </c>
      <c r="C579" s="37">
        <f t="shared" si="24"/>
        <v>2000000</v>
      </c>
      <c r="D579" s="11">
        <f t="shared" si="27"/>
        <v>60000</v>
      </c>
      <c r="E579" s="11"/>
      <c r="F579" s="11"/>
      <c r="G579" s="11"/>
      <c r="H579" s="11"/>
      <c r="I579" s="11">
        <f t="shared" si="25"/>
        <v>2000000</v>
      </c>
    </row>
    <row r="580" spans="1:9" x14ac:dyDescent="0.3">
      <c r="A580" s="35">
        <v>19</v>
      </c>
      <c r="B580" s="36" t="str">
        <f t="shared" si="26"/>
        <v>Isti Umami</v>
      </c>
      <c r="C580" s="37">
        <f t="shared" si="24"/>
        <v>3900000</v>
      </c>
      <c r="D580" s="11">
        <f t="shared" si="27"/>
        <v>117000</v>
      </c>
      <c r="E580" s="11"/>
      <c r="F580" s="11"/>
      <c r="G580" s="11"/>
      <c r="H580" s="11"/>
      <c r="I580" s="11">
        <f t="shared" si="25"/>
        <v>3900000</v>
      </c>
    </row>
    <row r="581" spans="1:9" x14ac:dyDescent="0.3">
      <c r="A581" s="35">
        <v>20</v>
      </c>
      <c r="B581" s="36" t="str">
        <f t="shared" si="26"/>
        <v>Mathoha</v>
      </c>
      <c r="C581" s="37">
        <f t="shared" si="24"/>
        <v>3500000</v>
      </c>
      <c r="D581" s="11">
        <f t="shared" si="27"/>
        <v>105000</v>
      </c>
      <c r="E581" s="11"/>
      <c r="F581" s="11"/>
      <c r="G581" s="11"/>
      <c r="H581" s="11"/>
      <c r="I581" s="11">
        <f t="shared" si="25"/>
        <v>3500000</v>
      </c>
    </row>
    <row r="582" spans="1:9" x14ac:dyDescent="0.3">
      <c r="A582" s="35">
        <v>21</v>
      </c>
      <c r="B582" s="36" t="str">
        <f t="shared" si="26"/>
        <v>Matkasan</v>
      </c>
      <c r="C582" s="37">
        <f t="shared" si="24"/>
        <v>1000000</v>
      </c>
      <c r="D582" s="11">
        <f t="shared" si="27"/>
        <v>30000</v>
      </c>
      <c r="E582" s="11"/>
      <c r="F582" s="11"/>
      <c r="G582" s="11"/>
      <c r="H582" s="11"/>
      <c r="I582" s="11">
        <f t="shared" si="25"/>
        <v>1000000</v>
      </c>
    </row>
    <row r="583" spans="1:9" x14ac:dyDescent="0.3">
      <c r="A583" s="35">
        <v>22</v>
      </c>
      <c r="B583" s="36" t="str">
        <f t="shared" si="26"/>
        <v>Umi Nadhiroh</v>
      </c>
      <c r="C583" s="37">
        <f t="shared" si="24"/>
        <v>4500000</v>
      </c>
      <c r="D583" s="11">
        <f t="shared" si="27"/>
        <v>135000</v>
      </c>
      <c r="E583" s="11"/>
      <c r="F583" s="11"/>
      <c r="G583" s="11"/>
      <c r="H583" s="11"/>
      <c r="I583" s="11">
        <f t="shared" si="25"/>
        <v>4500000</v>
      </c>
    </row>
    <row r="584" spans="1:9" x14ac:dyDescent="0.3">
      <c r="A584" s="35">
        <v>23</v>
      </c>
      <c r="B584" s="36" t="str">
        <f t="shared" si="26"/>
        <v>Mi'an</v>
      </c>
      <c r="C584" s="37">
        <f t="shared" si="24"/>
        <v>5700000</v>
      </c>
      <c r="D584" s="11">
        <f t="shared" si="27"/>
        <v>171000</v>
      </c>
      <c r="E584" s="11"/>
      <c r="F584" s="11"/>
      <c r="G584" s="11"/>
      <c r="H584" s="11"/>
      <c r="I584" s="11">
        <f t="shared" si="25"/>
        <v>5700000</v>
      </c>
    </row>
    <row r="585" spans="1:9" x14ac:dyDescent="0.3">
      <c r="A585" s="35">
        <v>24</v>
      </c>
      <c r="B585" s="36" t="str">
        <f t="shared" si="26"/>
        <v>Mu'minin</v>
      </c>
      <c r="C585" s="37">
        <f t="shared" si="24"/>
        <v>4000000</v>
      </c>
      <c r="D585" s="11">
        <f t="shared" si="27"/>
        <v>120000</v>
      </c>
      <c r="E585" s="11"/>
      <c r="F585" s="11"/>
      <c r="G585" s="11">
        <v>120000</v>
      </c>
      <c r="H585" s="11"/>
      <c r="I585" s="11">
        <f t="shared" si="25"/>
        <v>4120000</v>
      </c>
    </row>
    <row r="586" spans="1:9" x14ac:dyDescent="0.3">
      <c r="A586" s="35">
        <v>25</v>
      </c>
      <c r="B586" s="36" t="str">
        <f t="shared" si="26"/>
        <v>Munawar</v>
      </c>
      <c r="C586" s="37">
        <f t="shared" si="24"/>
        <v>3300000</v>
      </c>
      <c r="D586" s="11">
        <f t="shared" si="27"/>
        <v>99000</v>
      </c>
      <c r="E586" s="11"/>
      <c r="F586" s="11"/>
      <c r="G586" s="11"/>
      <c r="H586" s="11"/>
      <c r="I586" s="11">
        <f t="shared" si="25"/>
        <v>3300000</v>
      </c>
    </row>
    <row r="587" spans="1:9" x14ac:dyDescent="0.3">
      <c r="A587" s="35">
        <v>26</v>
      </c>
      <c r="B587" s="36" t="str">
        <f t="shared" si="26"/>
        <v>Muslikatin</v>
      </c>
      <c r="C587" s="37">
        <f t="shared" si="24"/>
        <v>1000000</v>
      </c>
      <c r="D587" s="11">
        <f t="shared" si="27"/>
        <v>30000</v>
      </c>
      <c r="E587" s="11"/>
      <c r="F587" s="11"/>
      <c r="G587" s="11"/>
      <c r="H587" s="11"/>
      <c r="I587" s="11">
        <f t="shared" si="25"/>
        <v>1000000</v>
      </c>
    </row>
    <row r="588" spans="1:9" x14ac:dyDescent="0.3">
      <c r="A588" s="35">
        <v>27</v>
      </c>
      <c r="B588" s="36" t="str">
        <f t="shared" si="26"/>
        <v>Nurhadi</v>
      </c>
      <c r="C588" s="37">
        <f t="shared" si="24"/>
        <v>2000000</v>
      </c>
      <c r="D588" s="11">
        <f t="shared" si="27"/>
        <v>60000</v>
      </c>
      <c r="E588" s="11"/>
      <c r="F588" s="11"/>
      <c r="G588" s="11"/>
      <c r="H588" s="11"/>
      <c r="I588" s="11">
        <f t="shared" si="25"/>
        <v>2000000</v>
      </c>
    </row>
    <row r="589" spans="1:9" x14ac:dyDescent="0.3">
      <c r="A589" s="35">
        <v>28</v>
      </c>
      <c r="B589" s="36" t="str">
        <f t="shared" si="26"/>
        <v>Siti Nurmahmudah</v>
      </c>
      <c r="C589" s="37">
        <f t="shared" si="24"/>
        <v>7210000</v>
      </c>
      <c r="D589" s="11">
        <f t="shared" si="27"/>
        <v>216300</v>
      </c>
      <c r="E589" s="11"/>
      <c r="F589" s="11"/>
      <c r="G589" s="11">
        <v>216300</v>
      </c>
      <c r="H589" s="11"/>
      <c r="I589" s="11">
        <f t="shared" si="25"/>
        <v>7426300</v>
      </c>
    </row>
    <row r="590" spans="1:9" x14ac:dyDescent="0.3">
      <c r="A590" s="35">
        <v>29</v>
      </c>
      <c r="B590" s="36" t="str">
        <f t="shared" si="26"/>
        <v>Saeman</v>
      </c>
      <c r="C590" s="37">
        <f t="shared" si="24"/>
        <v>10000000</v>
      </c>
      <c r="D590" s="11">
        <f t="shared" si="27"/>
        <v>300000</v>
      </c>
      <c r="E590" s="11"/>
      <c r="F590" s="11"/>
      <c r="G590" s="11"/>
      <c r="H590" s="11"/>
      <c r="I590" s="11">
        <f t="shared" si="25"/>
        <v>10000000</v>
      </c>
    </row>
    <row r="591" spans="1:9" x14ac:dyDescent="0.3">
      <c r="A591" s="35">
        <v>30</v>
      </c>
      <c r="B591" s="36" t="str">
        <f t="shared" si="26"/>
        <v>Sarto</v>
      </c>
      <c r="C591" s="37">
        <f t="shared" si="24"/>
        <v>2000000</v>
      </c>
      <c r="D591" s="11">
        <f t="shared" si="27"/>
        <v>60000</v>
      </c>
      <c r="E591" s="11"/>
      <c r="F591" s="11"/>
      <c r="G591" s="11"/>
      <c r="H591" s="11"/>
      <c r="I591" s="11">
        <f t="shared" si="25"/>
        <v>2000000</v>
      </c>
    </row>
    <row r="592" spans="1:9" x14ac:dyDescent="0.3">
      <c r="A592" s="35">
        <v>31</v>
      </c>
      <c r="B592" s="36" t="str">
        <f t="shared" si="26"/>
        <v>Sholik 9</v>
      </c>
      <c r="C592" s="37">
        <f t="shared" si="24"/>
        <v>21947422</v>
      </c>
      <c r="D592" s="11">
        <f t="shared" si="27"/>
        <v>658422.66</v>
      </c>
      <c r="E592" s="11"/>
      <c r="F592" s="11"/>
      <c r="G592" s="11">
        <v>658423</v>
      </c>
      <c r="H592" s="11"/>
      <c r="I592" s="11">
        <f t="shared" si="25"/>
        <v>22605845</v>
      </c>
    </row>
    <row r="593" spans="1:9" x14ac:dyDescent="0.3">
      <c r="A593" s="35">
        <v>32</v>
      </c>
      <c r="B593" s="36" t="str">
        <f t="shared" si="26"/>
        <v>Siono</v>
      </c>
      <c r="C593" s="37">
        <f t="shared" si="24"/>
        <v>6365400</v>
      </c>
      <c r="D593" s="11">
        <f t="shared" si="27"/>
        <v>190962</v>
      </c>
      <c r="E593" s="11"/>
      <c r="F593" s="11"/>
      <c r="G593" s="11">
        <v>190962</v>
      </c>
      <c r="H593" s="11"/>
      <c r="I593" s="11">
        <f t="shared" si="25"/>
        <v>6556362</v>
      </c>
    </row>
    <row r="594" spans="1:9" x14ac:dyDescent="0.3">
      <c r="A594" s="35">
        <v>33</v>
      </c>
      <c r="B594" s="36" t="str">
        <f t="shared" si="26"/>
        <v>Sumadi</v>
      </c>
      <c r="C594" s="37">
        <f t="shared" si="24"/>
        <v>7500000</v>
      </c>
      <c r="D594" s="11">
        <f t="shared" si="27"/>
        <v>225000</v>
      </c>
      <c r="E594" s="11"/>
      <c r="F594" s="11"/>
      <c r="G594" s="11">
        <v>2000000</v>
      </c>
      <c r="H594" s="11"/>
      <c r="I594" s="11">
        <f t="shared" si="25"/>
        <v>9500000</v>
      </c>
    </row>
    <row r="595" spans="1:9" x14ac:dyDescent="0.3">
      <c r="A595" s="35">
        <v>34</v>
      </c>
      <c r="B595" s="36" t="str">
        <f t="shared" si="26"/>
        <v>Sumar</v>
      </c>
      <c r="C595" s="37">
        <f t="shared" si="24"/>
        <v>5500000</v>
      </c>
      <c r="D595" s="11">
        <f t="shared" si="27"/>
        <v>165000</v>
      </c>
      <c r="E595" s="11"/>
      <c r="F595" s="11"/>
      <c r="G595" s="11"/>
      <c r="H595" s="11"/>
      <c r="I595" s="11">
        <f t="shared" si="25"/>
        <v>5500000</v>
      </c>
    </row>
    <row r="596" spans="1:9" x14ac:dyDescent="0.3">
      <c r="A596" s="35">
        <v>35</v>
      </c>
      <c r="B596" s="36" t="str">
        <f t="shared" si="26"/>
        <v>Sunamah</v>
      </c>
      <c r="C596" s="37">
        <f t="shared" si="24"/>
        <v>9000000</v>
      </c>
      <c r="D596" s="11">
        <f t="shared" si="27"/>
        <v>270000</v>
      </c>
      <c r="E596" s="11"/>
      <c r="F596" s="11"/>
      <c r="G596" s="11">
        <v>1000000</v>
      </c>
      <c r="H596" s="11"/>
      <c r="I596" s="11">
        <f t="shared" si="25"/>
        <v>10000000</v>
      </c>
    </row>
    <row r="597" spans="1:9" x14ac:dyDescent="0.3">
      <c r="A597" s="35">
        <v>36</v>
      </c>
      <c r="B597" s="36" t="str">
        <f t="shared" si="26"/>
        <v>Supiani</v>
      </c>
      <c r="C597" s="37">
        <f t="shared" si="24"/>
        <v>2000000</v>
      </c>
      <c r="D597" s="11">
        <f t="shared" si="27"/>
        <v>60000</v>
      </c>
      <c r="E597" s="11"/>
      <c r="F597" s="11"/>
      <c r="G597" s="11"/>
      <c r="H597" s="11"/>
      <c r="I597" s="11">
        <f t="shared" si="25"/>
        <v>2000000</v>
      </c>
    </row>
    <row r="598" spans="1:9" x14ac:dyDescent="0.3">
      <c r="A598" s="35">
        <v>37</v>
      </c>
      <c r="B598" s="36" t="str">
        <f t="shared" si="26"/>
        <v>Supriaji</v>
      </c>
      <c r="C598" s="37">
        <f t="shared" si="24"/>
        <v>12720000</v>
      </c>
      <c r="D598" s="11">
        <f t="shared" si="27"/>
        <v>381600</v>
      </c>
      <c r="E598" s="11"/>
      <c r="F598" s="11"/>
      <c r="G598" s="11"/>
      <c r="H598" s="11">
        <v>720000</v>
      </c>
      <c r="I598" s="11">
        <f t="shared" si="25"/>
        <v>12000000</v>
      </c>
    </row>
    <row r="599" spans="1:9" x14ac:dyDescent="0.3">
      <c r="A599" s="35">
        <v>38</v>
      </c>
      <c r="B599" s="36" t="str">
        <f t="shared" si="26"/>
        <v>Suwanan/Iksan</v>
      </c>
      <c r="C599" s="37">
        <f t="shared" si="24"/>
        <v>6000000</v>
      </c>
      <c r="D599" s="11">
        <f t="shared" si="27"/>
        <v>180000</v>
      </c>
      <c r="E599" s="11"/>
      <c r="F599" s="11"/>
      <c r="G599" s="11"/>
      <c r="H599" s="11"/>
      <c r="I599" s="11">
        <f t="shared" si="25"/>
        <v>6000000</v>
      </c>
    </row>
    <row r="600" spans="1:9" x14ac:dyDescent="0.3">
      <c r="A600" s="35">
        <v>39</v>
      </c>
      <c r="B600" s="36" t="str">
        <f t="shared" si="26"/>
        <v>Suwari</v>
      </c>
      <c r="C600" s="37">
        <f t="shared" si="24"/>
        <v>1000000</v>
      </c>
      <c r="D600" s="11">
        <f t="shared" si="27"/>
        <v>30000</v>
      </c>
      <c r="E600" s="11"/>
      <c r="F600" s="11"/>
      <c r="G600" s="11"/>
      <c r="H600" s="11"/>
      <c r="I600" s="11">
        <f t="shared" si="25"/>
        <v>1000000</v>
      </c>
    </row>
    <row r="601" spans="1:9" x14ac:dyDescent="0.3">
      <c r="A601" s="35">
        <v>40</v>
      </c>
      <c r="B601" s="36" t="str">
        <f t="shared" si="26"/>
        <v>Suyono 2</v>
      </c>
      <c r="C601" s="37">
        <f t="shared" si="24"/>
        <v>8500000</v>
      </c>
      <c r="D601" s="11">
        <f t="shared" si="27"/>
        <v>255000</v>
      </c>
      <c r="E601" s="11"/>
      <c r="F601" s="11"/>
      <c r="G601" s="11"/>
      <c r="H601" s="11"/>
      <c r="I601" s="11">
        <f t="shared" si="25"/>
        <v>8500000</v>
      </c>
    </row>
    <row r="602" spans="1:9" x14ac:dyDescent="0.3">
      <c r="A602" s="35">
        <v>41</v>
      </c>
      <c r="B602" s="36" t="str">
        <f t="shared" si="26"/>
        <v>Tisno</v>
      </c>
      <c r="C602" s="37">
        <f t="shared" si="24"/>
        <v>2000000</v>
      </c>
      <c r="D602" s="11">
        <f t="shared" si="27"/>
        <v>60000</v>
      </c>
      <c r="E602" s="11"/>
      <c r="F602" s="11"/>
      <c r="G602" s="11"/>
      <c r="H602" s="11"/>
      <c r="I602" s="11">
        <f t="shared" si="25"/>
        <v>2000000</v>
      </c>
    </row>
    <row r="603" spans="1:9" x14ac:dyDescent="0.3">
      <c r="A603" s="35">
        <v>42</v>
      </c>
      <c r="B603" s="36" t="str">
        <f t="shared" si="26"/>
        <v>Umi Kulsum</v>
      </c>
      <c r="C603" s="37">
        <f t="shared" si="24"/>
        <v>4000000</v>
      </c>
      <c r="D603" s="11">
        <f t="shared" si="27"/>
        <v>120000</v>
      </c>
      <c r="E603" s="38"/>
      <c r="F603" s="38"/>
      <c r="G603" s="38"/>
      <c r="H603" s="11"/>
      <c r="I603" s="11">
        <f t="shared" si="25"/>
        <v>4000000</v>
      </c>
    </row>
    <row r="604" spans="1:9" x14ac:dyDescent="0.3">
      <c r="A604" s="35">
        <v>43</v>
      </c>
      <c r="B604" s="36" t="str">
        <f t="shared" si="26"/>
        <v>Rofiq</v>
      </c>
      <c r="C604" s="37">
        <f t="shared" si="24"/>
        <v>4000000</v>
      </c>
      <c r="D604" s="11">
        <f t="shared" si="27"/>
        <v>120000</v>
      </c>
      <c r="E604" s="38"/>
      <c r="F604" s="38"/>
      <c r="G604" s="38"/>
      <c r="H604" s="11"/>
      <c r="I604" s="11">
        <f t="shared" si="25"/>
        <v>4000000</v>
      </c>
    </row>
    <row r="605" spans="1:9" x14ac:dyDescent="0.3">
      <c r="A605" s="35">
        <v>44</v>
      </c>
      <c r="B605" s="36" t="str">
        <f t="shared" si="26"/>
        <v>Zumaroh</v>
      </c>
      <c r="C605" s="37">
        <f t="shared" si="24"/>
        <v>3000000</v>
      </c>
      <c r="D605" s="11">
        <f t="shared" si="27"/>
        <v>90000</v>
      </c>
      <c r="E605" s="38"/>
      <c r="F605" s="38"/>
      <c r="G605" s="38"/>
      <c r="H605" s="11"/>
      <c r="I605" s="11">
        <f t="shared" si="25"/>
        <v>3000000</v>
      </c>
    </row>
    <row r="606" spans="1:9" x14ac:dyDescent="0.3">
      <c r="A606" s="35">
        <v>45</v>
      </c>
      <c r="B606" s="36" t="str">
        <f t="shared" si="26"/>
        <v>Ning Husniah</v>
      </c>
      <c r="C606" s="37">
        <f t="shared" si="24"/>
        <v>1000000</v>
      </c>
      <c r="D606" s="11">
        <f t="shared" si="27"/>
        <v>30000</v>
      </c>
      <c r="E606" s="11"/>
      <c r="F606" s="11"/>
      <c r="G606" s="11"/>
      <c r="H606" s="11"/>
      <c r="I606" s="11">
        <f t="shared" si="25"/>
        <v>1000000</v>
      </c>
    </row>
    <row r="607" spans="1:9" x14ac:dyDescent="0.3">
      <c r="A607" s="39">
        <v>46</v>
      </c>
      <c r="B607" s="36" t="str">
        <f t="shared" si="26"/>
        <v>Lu'luur R</v>
      </c>
      <c r="C607" s="37">
        <f t="shared" si="24"/>
        <v>7000000</v>
      </c>
      <c r="D607" s="11">
        <f t="shared" si="27"/>
        <v>210000</v>
      </c>
      <c r="E607" s="41"/>
      <c r="F607" s="41"/>
      <c r="G607" s="41"/>
      <c r="H607" s="40"/>
      <c r="I607" s="11">
        <f t="shared" si="25"/>
        <v>7000000</v>
      </c>
    </row>
    <row r="608" spans="1:9" x14ac:dyDescent="0.3">
      <c r="A608" s="35">
        <v>47</v>
      </c>
      <c r="B608" s="36" t="str">
        <f t="shared" si="26"/>
        <v>Umar</v>
      </c>
      <c r="C608" s="37">
        <f t="shared" si="24"/>
        <v>2500000</v>
      </c>
      <c r="D608" s="11">
        <f t="shared" si="27"/>
        <v>75000</v>
      </c>
      <c r="E608" s="38"/>
      <c r="F608" s="38"/>
      <c r="G608" s="38"/>
      <c r="H608" s="11"/>
      <c r="I608" s="11">
        <f t="shared" si="25"/>
        <v>2500000</v>
      </c>
    </row>
    <row r="609" spans="1:9" x14ac:dyDescent="0.3">
      <c r="A609" s="35">
        <v>48</v>
      </c>
      <c r="B609" s="36" t="str">
        <f t="shared" si="26"/>
        <v>Ana/Bu Khoiri</v>
      </c>
      <c r="C609" s="37">
        <f t="shared" si="24"/>
        <v>1000000</v>
      </c>
      <c r="D609" s="11">
        <f t="shared" si="27"/>
        <v>30000</v>
      </c>
      <c r="E609" s="11"/>
      <c r="F609" s="11"/>
      <c r="G609" s="11">
        <v>30000</v>
      </c>
      <c r="H609" s="11"/>
      <c r="I609" s="11">
        <f t="shared" si="25"/>
        <v>1030000</v>
      </c>
    </row>
    <row r="610" spans="1:9" x14ac:dyDescent="0.3">
      <c r="A610" s="35">
        <v>49</v>
      </c>
      <c r="B610" s="36" t="str">
        <f t="shared" si="26"/>
        <v>Anik Mahsunah W</v>
      </c>
      <c r="C610" s="37">
        <f t="shared" si="24"/>
        <v>1000000</v>
      </c>
      <c r="D610" s="11">
        <f t="shared" si="27"/>
        <v>30000</v>
      </c>
      <c r="E610" s="11"/>
      <c r="F610" s="11"/>
      <c r="G610" s="11">
        <v>1000000</v>
      </c>
      <c r="H610" s="11"/>
      <c r="I610" s="11">
        <f t="shared" si="25"/>
        <v>2000000</v>
      </c>
    </row>
    <row r="611" spans="1:9" x14ac:dyDescent="0.3">
      <c r="A611" s="35">
        <v>50</v>
      </c>
      <c r="B611" s="36" t="str">
        <f t="shared" si="26"/>
        <v>Fajrul Ummah</v>
      </c>
      <c r="C611" s="37">
        <f t="shared" si="24"/>
        <v>18029996</v>
      </c>
      <c r="D611" s="11">
        <f t="shared" si="27"/>
        <v>540899.88</v>
      </c>
      <c r="E611" s="11"/>
      <c r="F611" s="11"/>
      <c r="G611" s="11">
        <v>540900</v>
      </c>
      <c r="H611" s="11"/>
      <c r="I611" s="11">
        <f t="shared" si="25"/>
        <v>18570896</v>
      </c>
    </row>
    <row r="612" spans="1:9" x14ac:dyDescent="0.3">
      <c r="A612" s="35">
        <v>51</v>
      </c>
      <c r="B612" s="36" t="str">
        <f t="shared" si="26"/>
        <v>Imam Masrodin</v>
      </c>
      <c r="C612" s="37">
        <f t="shared" si="24"/>
        <v>500000</v>
      </c>
      <c r="D612" s="11">
        <f t="shared" si="27"/>
        <v>15000</v>
      </c>
      <c r="E612" s="11"/>
      <c r="F612" s="11"/>
      <c r="G612" s="11"/>
      <c r="H612" s="11"/>
      <c r="I612" s="11">
        <f t="shared" si="25"/>
        <v>500000</v>
      </c>
    </row>
    <row r="613" spans="1:9" x14ac:dyDescent="0.3">
      <c r="A613" s="35">
        <v>52</v>
      </c>
      <c r="B613" s="36" t="str">
        <f t="shared" si="26"/>
        <v>Muayanah</v>
      </c>
      <c r="C613" s="37">
        <f t="shared" si="24"/>
        <v>10300000</v>
      </c>
      <c r="D613" s="11">
        <f t="shared" si="27"/>
        <v>309000</v>
      </c>
      <c r="E613" s="38"/>
      <c r="F613" s="38"/>
      <c r="G613" s="38"/>
      <c r="H613" s="11"/>
      <c r="I613" s="11">
        <f t="shared" si="25"/>
        <v>10300000</v>
      </c>
    </row>
    <row r="614" spans="1:9" x14ac:dyDescent="0.3">
      <c r="A614" s="35">
        <v>53</v>
      </c>
      <c r="B614" s="36" t="str">
        <f t="shared" si="26"/>
        <v>Siswanto</v>
      </c>
      <c r="C614" s="37">
        <f t="shared" si="24"/>
        <v>3000000</v>
      </c>
      <c r="D614" s="11">
        <f t="shared" si="27"/>
        <v>90000</v>
      </c>
      <c r="E614" s="38"/>
      <c r="F614" s="38"/>
      <c r="G614" s="38"/>
      <c r="H614" s="11"/>
      <c r="I614" s="11">
        <f t="shared" si="25"/>
        <v>3000000</v>
      </c>
    </row>
    <row r="615" spans="1:9" x14ac:dyDescent="0.3">
      <c r="A615" s="35">
        <v>54</v>
      </c>
      <c r="B615" s="36" t="str">
        <f t="shared" si="26"/>
        <v>Bin Asiyah</v>
      </c>
      <c r="C615" s="37">
        <f t="shared" si="24"/>
        <v>6000000</v>
      </c>
      <c r="D615" s="11">
        <f t="shared" si="27"/>
        <v>180000</v>
      </c>
      <c r="E615" s="38"/>
      <c r="F615" s="38"/>
      <c r="G615" s="38"/>
      <c r="H615" s="11"/>
      <c r="I615" s="11">
        <f t="shared" si="25"/>
        <v>6000000</v>
      </c>
    </row>
    <row r="616" spans="1:9" x14ac:dyDescent="0.3">
      <c r="A616" s="35">
        <v>55</v>
      </c>
      <c r="B616" s="36" t="str">
        <f t="shared" si="26"/>
        <v>Tayem</v>
      </c>
      <c r="C616" s="37">
        <f t="shared" si="24"/>
        <v>14500000</v>
      </c>
      <c r="D616" s="11">
        <f t="shared" si="27"/>
        <v>435000</v>
      </c>
      <c r="E616" s="38"/>
      <c r="F616" s="38"/>
      <c r="G616" s="38"/>
      <c r="H616" s="11"/>
      <c r="I616" s="11">
        <f t="shared" si="25"/>
        <v>14500000</v>
      </c>
    </row>
    <row r="617" spans="1:9" x14ac:dyDescent="0.3">
      <c r="A617" s="35">
        <v>56</v>
      </c>
      <c r="B617" s="36" t="str">
        <f t="shared" si="26"/>
        <v>Sholahuddin Afif</v>
      </c>
      <c r="C617" s="37">
        <f t="shared" si="24"/>
        <v>15000000</v>
      </c>
      <c r="D617" s="11">
        <f t="shared" si="27"/>
        <v>450000</v>
      </c>
      <c r="E617" s="38"/>
      <c r="F617" s="38"/>
      <c r="G617" s="38"/>
      <c r="H617" s="11"/>
      <c r="I617" s="11">
        <f t="shared" si="25"/>
        <v>15000000</v>
      </c>
    </row>
    <row r="618" spans="1:9" x14ac:dyDescent="0.3">
      <c r="A618" s="35">
        <v>57</v>
      </c>
      <c r="B618" s="36" t="str">
        <f t="shared" si="26"/>
        <v>Masithah</v>
      </c>
      <c r="C618" s="37">
        <f t="shared" si="24"/>
        <v>1000000</v>
      </c>
      <c r="D618" s="11">
        <f t="shared" si="27"/>
        <v>30000</v>
      </c>
      <c r="E618" s="38"/>
      <c r="F618" s="38"/>
      <c r="G618" s="38"/>
      <c r="H618" s="11"/>
      <c r="I618" s="11">
        <f t="shared" si="25"/>
        <v>1000000</v>
      </c>
    </row>
    <row r="619" spans="1:9" x14ac:dyDescent="0.3">
      <c r="A619" s="35">
        <v>58</v>
      </c>
      <c r="B619" s="36" t="str">
        <f t="shared" si="26"/>
        <v>Rikayati</v>
      </c>
      <c r="C619" s="37">
        <f t="shared" si="24"/>
        <v>2000000</v>
      </c>
      <c r="D619" s="11">
        <f t="shared" si="27"/>
        <v>60000</v>
      </c>
      <c r="E619" s="38"/>
      <c r="F619" s="38"/>
      <c r="G619" s="38"/>
      <c r="H619" s="38"/>
      <c r="I619" s="11">
        <f t="shared" si="25"/>
        <v>2000000</v>
      </c>
    </row>
    <row r="620" spans="1:9" x14ac:dyDescent="0.3">
      <c r="A620" s="35">
        <v>59</v>
      </c>
      <c r="B620" s="36" t="str">
        <f t="shared" si="26"/>
        <v>Misbahuddin</v>
      </c>
      <c r="C620" s="37">
        <f t="shared" si="24"/>
        <v>2000000</v>
      </c>
      <c r="D620" s="11">
        <f t="shared" si="27"/>
        <v>60000</v>
      </c>
      <c r="E620" s="11"/>
      <c r="F620" s="11"/>
      <c r="G620" s="11">
        <v>1000000</v>
      </c>
      <c r="H620" s="11"/>
      <c r="I620" s="11">
        <f t="shared" si="25"/>
        <v>3000000</v>
      </c>
    </row>
    <row r="621" spans="1:9" x14ac:dyDescent="0.3">
      <c r="A621" s="35">
        <v>60</v>
      </c>
      <c r="B621" s="36" t="str">
        <f t="shared" si="26"/>
        <v>Munisah</v>
      </c>
      <c r="C621" s="37">
        <f t="shared" si="24"/>
        <v>1500000</v>
      </c>
      <c r="D621" s="11">
        <f t="shared" si="27"/>
        <v>45000</v>
      </c>
      <c r="E621" s="11"/>
      <c r="F621" s="11"/>
      <c r="G621" s="11"/>
      <c r="H621" s="11"/>
      <c r="I621" s="11">
        <f t="shared" si="25"/>
        <v>1500000</v>
      </c>
    </row>
    <row r="622" spans="1:9" x14ac:dyDescent="0.3">
      <c r="A622" s="35">
        <v>61</v>
      </c>
      <c r="B622" s="36">
        <f t="shared" si="26"/>
        <v>0</v>
      </c>
      <c r="C622" s="37">
        <f t="shared" si="24"/>
        <v>0</v>
      </c>
      <c r="D622" s="11">
        <f t="shared" si="27"/>
        <v>0</v>
      </c>
      <c r="E622" s="11"/>
      <c r="F622" s="11"/>
      <c r="G622" s="11"/>
      <c r="H622" s="11"/>
      <c r="I622" s="11">
        <f t="shared" si="25"/>
        <v>0</v>
      </c>
    </row>
    <row r="623" spans="1:9" x14ac:dyDescent="0.3">
      <c r="A623" s="35">
        <v>62</v>
      </c>
      <c r="B623" s="36">
        <f t="shared" si="26"/>
        <v>0</v>
      </c>
      <c r="C623" s="37">
        <f t="shared" si="24"/>
        <v>0</v>
      </c>
      <c r="D623" s="11">
        <f t="shared" si="27"/>
        <v>0</v>
      </c>
      <c r="E623" s="38"/>
      <c r="F623" s="11"/>
      <c r="G623" s="11"/>
      <c r="H623" s="11"/>
      <c r="I623" s="11">
        <f t="shared" si="25"/>
        <v>0</v>
      </c>
    </row>
    <row r="624" spans="1:9" x14ac:dyDescent="0.3">
      <c r="A624" s="35">
        <v>63</v>
      </c>
      <c r="B624" s="36"/>
      <c r="C624" s="37"/>
      <c r="D624" s="11"/>
      <c r="E624" s="38"/>
      <c r="F624" s="43"/>
      <c r="G624" s="11"/>
      <c r="H624" s="11"/>
      <c r="I624" s="11">
        <f t="shared" si="25"/>
        <v>0</v>
      </c>
    </row>
    <row r="625" spans="1:9" ht="17.25" thickBot="1" x14ac:dyDescent="0.35">
      <c r="A625" s="44" t="s">
        <v>13</v>
      </c>
      <c r="B625" s="45"/>
      <c r="C625" s="46">
        <f t="shared" ref="C625:I625" si="28">SUM(C562:C624)</f>
        <v>310472818</v>
      </c>
      <c r="D625" s="47">
        <f t="shared" si="28"/>
        <v>9314184.5399999991</v>
      </c>
      <c r="E625" s="15">
        <f t="shared" si="28"/>
        <v>0</v>
      </c>
      <c r="F625" s="15">
        <f t="shared" si="28"/>
        <v>0</v>
      </c>
      <c r="G625" s="16">
        <f t="shared" si="28"/>
        <v>9975585</v>
      </c>
      <c r="H625" s="16">
        <f t="shared" si="28"/>
        <v>720000</v>
      </c>
      <c r="I625" s="17">
        <f t="shared" si="28"/>
        <v>319728403</v>
      </c>
    </row>
    <row r="626" spans="1:9" x14ac:dyDescent="0.3">
      <c r="C626" s="49"/>
      <c r="D626" s="50"/>
      <c r="E626" s="50"/>
      <c r="F626" s="50"/>
      <c r="I626" s="19"/>
    </row>
    <row r="627" spans="1:9" x14ac:dyDescent="0.3">
      <c r="H627" s="2" t="s">
        <v>26</v>
      </c>
    </row>
    <row r="631" spans="1:9" s="3" customFormat="1" x14ac:dyDescent="0.3">
      <c r="A631" s="2"/>
      <c r="B631" s="2"/>
      <c r="C631" s="2"/>
      <c r="D631" s="2"/>
      <c r="E631" s="2"/>
      <c r="F631" s="2"/>
      <c r="G631" s="2"/>
      <c r="H631" s="51" t="s">
        <v>15</v>
      </c>
    </row>
    <row r="670" spans="1:9" ht="20.25" x14ac:dyDescent="0.3">
      <c r="A670" s="52" t="s">
        <v>27</v>
      </c>
      <c r="B670" s="52"/>
      <c r="C670" s="52"/>
      <c r="D670" s="52"/>
      <c r="E670" s="52"/>
      <c r="F670" s="52"/>
      <c r="G670" s="52"/>
      <c r="H670" s="52"/>
      <c r="I670" s="52"/>
    </row>
    <row r="672" spans="1:9" ht="49.5" x14ac:dyDescent="0.3">
      <c r="A672" s="53" t="s">
        <v>1</v>
      </c>
      <c r="B672" s="53" t="s">
        <v>2</v>
      </c>
      <c r="C672" s="53" t="s">
        <v>3</v>
      </c>
      <c r="D672" s="55" t="s">
        <v>4</v>
      </c>
      <c r="E672" s="55" t="s">
        <v>5</v>
      </c>
      <c r="F672" s="55" t="s">
        <v>6</v>
      </c>
      <c r="G672" s="55" t="s">
        <v>7</v>
      </c>
      <c r="H672" s="55" t="s">
        <v>8</v>
      </c>
      <c r="I672" s="5" t="s">
        <v>17</v>
      </c>
    </row>
    <row r="673" spans="1:9" x14ac:dyDescent="0.3">
      <c r="A673" s="56"/>
      <c r="B673" s="56"/>
      <c r="C673" s="56"/>
      <c r="D673" s="58">
        <v>46145</v>
      </c>
      <c r="E673" s="58">
        <f>D673</f>
        <v>46145</v>
      </c>
      <c r="F673" s="58">
        <f>E673</f>
        <v>46145</v>
      </c>
      <c r="G673" s="58">
        <f>F673</f>
        <v>46145</v>
      </c>
      <c r="H673" s="58">
        <f>G673</f>
        <v>46145</v>
      </c>
      <c r="I673" s="58">
        <f>H673</f>
        <v>46145</v>
      </c>
    </row>
    <row r="674" spans="1:9" x14ac:dyDescent="0.3">
      <c r="A674" s="35">
        <v>1</v>
      </c>
      <c r="B674" s="36" t="str">
        <f>B562</f>
        <v>Siti Rohmah</v>
      </c>
      <c r="C674" s="37">
        <f>I562</f>
        <v>13500000</v>
      </c>
      <c r="D674" s="11">
        <f>C674*3%</f>
        <v>405000</v>
      </c>
      <c r="E674" s="29"/>
      <c r="F674" s="29"/>
      <c r="G674" s="29"/>
      <c r="H674" s="60"/>
      <c r="I674" s="11">
        <f>C674+E674-F674+G674-H674</f>
        <v>13500000</v>
      </c>
    </row>
    <row r="675" spans="1:9" x14ac:dyDescent="0.3">
      <c r="A675" s="35">
        <v>2</v>
      </c>
      <c r="B675" s="36" t="str">
        <f t="shared" ref="B675:B736" si="29">B563</f>
        <v>Ali Muttaqin</v>
      </c>
      <c r="C675" s="37">
        <f t="shared" ref="C675:C736" si="30">I563</f>
        <v>5000000</v>
      </c>
      <c r="D675" s="11">
        <f t="shared" ref="D675:D736" si="31">C675*3%</f>
        <v>150000</v>
      </c>
      <c r="E675" s="29"/>
      <c r="F675" s="29"/>
      <c r="G675" s="29"/>
      <c r="H675" s="29"/>
      <c r="I675" s="11">
        <f t="shared" ref="I675:I736" si="32">C675+E675-F675+G675-H675</f>
        <v>5000000</v>
      </c>
    </row>
    <row r="676" spans="1:9" x14ac:dyDescent="0.3">
      <c r="A676" s="35">
        <v>3</v>
      </c>
      <c r="B676" s="36" t="str">
        <f t="shared" si="29"/>
        <v>Amnan</v>
      </c>
      <c r="C676" s="37">
        <f t="shared" si="30"/>
        <v>10000000</v>
      </c>
      <c r="D676" s="11">
        <f t="shared" si="31"/>
        <v>300000</v>
      </c>
      <c r="E676" s="29"/>
      <c r="F676" s="29"/>
      <c r="G676" s="29"/>
      <c r="H676" s="29"/>
      <c r="I676" s="11">
        <f t="shared" si="32"/>
        <v>10000000</v>
      </c>
    </row>
    <row r="677" spans="1:9" x14ac:dyDescent="0.3">
      <c r="A677" s="35">
        <v>4</v>
      </c>
      <c r="B677" s="36" t="str">
        <f t="shared" si="29"/>
        <v>Bambang</v>
      </c>
      <c r="C677" s="37">
        <f t="shared" si="30"/>
        <v>7800000</v>
      </c>
      <c r="D677" s="11">
        <f t="shared" si="31"/>
        <v>234000</v>
      </c>
      <c r="E677" s="29"/>
      <c r="F677" s="29"/>
      <c r="G677" s="29"/>
      <c r="H677" s="29"/>
      <c r="I677" s="11">
        <f t="shared" si="32"/>
        <v>7800000</v>
      </c>
    </row>
    <row r="678" spans="1:9" x14ac:dyDescent="0.3">
      <c r="A678" s="35">
        <v>5</v>
      </c>
      <c r="B678" s="36" t="str">
        <f t="shared" si="29"/>
        <v>Erham</v>
      </c>
      <c r="C678" s="37">
        <f t="shared" si="30"/>
        <v>5300000</v>
      </c>
      <c r="D678" s="11">
        <f t="shared" si="31"/>
        <v>159000</v>
      </c>
      <c r="E678" s="29"/>
      <c r="F678" s="29"/>
      <c r="G678" s="29"/>
      <c r="H678" s="29"/>
      <c r="I678" s="11">
        <f t="shared" si="32"/>
        <v>5300000</v>
      </c>
    </row>
    <row r="679" spans="1:9" x14ac:dyDescent="0.3">
      <c r="A679" s="35">
        <v>6</v>
      </c>
      <c r="B679" s="36" t="str">
        <f t="shared" si="29"/>
        <v>Estuningati</v>
      </c>
      <c r="C679" s="37">
        <f t="shared" si="30"/>
        <v>4000000</v>
      </c>
      <c r="D679" s="11">
        <f t="shared" si="31"/>
        <v>120000</v>
      </c>
      <c r="E679" s="29"/>
      <c r="F679" s="29"/>
      <c r="G679" s="29"/>
      <c r="H679" s="29"/>
      <c r="I679" s="11">
        <f t="shared" si="32"/>
        <v>4000000</v>
      </c>
    </row>
    <row r="680" spans="1:9" x14ac:dyDescent="0.3">
      <c r="A680" s="35">
        <v>7</v>
      </c>
      <c r="B680" s="36" t="str">
        <f t="shared" si="29"/>
        <v>Faisal (Subarin)</v>
      </c>
      <c r="C680" s="37">
        <f t="shared" si="30"/>
        <v>4120000</v>
      </c>
      <c r="D680" s="11">
        <v>240000</v>
      </c>
      <c r="E680" s="29"/>
      <c r="F680" s="29"/>
      <c r="G680" s="29">
        <v>120000</v>
      </c>
      <c r="H680" s="29"/>
      <c r="I680" s="11">
        <f t="shared" si="32"/>
        <v>4240000</v>
      </c>
    </row>
    <row r="681" spans="1:9" x14ac:dyDescent="0.3">
      <c r="A681" s="35">
        <v>8</v>
      </c>
      <c r="B681" s="36" t="str">
        <f t="shared" si="29"/>
        <v>Hj. Nur Fadhilah</v>
      </c>
      <c r="C681" s="37">
        <f t="shared" si="30"/>
        <v>2000000</v>
      </c>
      <c r="D681" s="11">
        <f t="shared" si="31"/>
        <v>60000</v>
      </c>
      <c r="E681" s="29"/>
      <c r="F681" s="29"/>
      <c r="G681" s="29"/>
      <c r="H681" s="29"/>
      <c r="I681" s="11">
        <f t="shared" si="32"/>
        <v>2000000</v>
      </c>
    </row>
    <row r="682" spans="1:9" x14ac:dyDescent="0.3">
      <c r="A682" s="35">
        <v>9</v>
      </c>
      <c r="B682" s="36" t="str">
        <f t="shared" si="29"/>
        <v>Hanafi</v>
      </c>
      <c r="C682" s="37">
        <f t="shared" si="30"/>
        <v>1000000</v>
      </c>
      <c r="D682" s="11">
        <f t="shared" si="31"/>
        <v>30000</v>
      </c>
      <c r="E682" s="29"/>
      <c r="F682" s="29"/>
      <c r="G682" s="29"/>
      <c r="H682" s="29"/>
      <c r="I682" s="11">
        <f t="shared" si="32"/>
        <v>1000000</v>
      </c>
    </row>
    <row r="683" spans="1:9" x14ac:dyDescent="0.3">
      <c r="A683" s="35">
        <v>10</v>
      </c>
      <c r="B683" s="36" t="str">
        <f t="shared" si="29"/>
        <v>Hidayat</v>
      </c>
      <c r="C683" s="37">
        <f t="shared" si="30"/>
        <v>2000000</v>
      </c>
      <c r="D683" s="11">
        <f t="shared" si="31"/>
        <v>60000</v>
      </c>
      <c r="E683" s="29"/>
      <c r="F683" s="29"/>
      <c r="G683" s="60"/>
      <c r="H683" s="29"/>
      <c r="I683" s="11">
        <f t="shared" si="32"/>
        <v>2000000</v>
      </c>
    </row>
    <row r="684" spans="1:9" x14ac:dyDescent="0.3">
      <c r="A684" s="35">
        <v>11</v>
      </c>
      <c r="B684" s="36" t="str">
        <f t="shared" si="29"/>
        <v>Ika Tartila</v>
      </c>
      <c r="C684" s="37">
        <f t="shared" si="30"/>
        <v>3399000</v>
      </c>
      <c r="D684" s="11">
        <f t="shared" si="31"/>
        <v>101970</v>
      </c>
      <c r="E684" s="29"/>
      <c r="F684" s="29"/>
      <c r="G684" s="29"/>
      <c r="H684" s="29"/>
      <c r="I684" s="11">
        <f t="shared" si="32"/>
        <v>3399000</v>
      </c>
    </row>
    <row r="685" spans="1:9" x14ac:dyDescent="0.3">
      <c r="A685" s="35">
        <v>12</v>
      </c>
      <c r="B685" s="36" t="str">
        <f t="shared" si="29"/>
        <v>Jumiah 2</v>
      </c>
      <c r="C685" s="37">
        <f t="shared" si="30"/>
        <v>2500000</v>
      </c>
      <c r="D685" s="11">
        <f t="shared" si="31"/>
        <v>75000</v>
      </c>
      <c r="E685" s="29"/>
      <c r="F685" s="29"/>
      <c r="G685" s="29">
        <v>500000</v>
      </c>
      <c r="H685" s="29"/>
      <c r="I685" s="11">
        <f t="shared" si="32"/>
        <v>3000000</v>
      </c>
    </row>
    <row r="686" spans="1:9" x14ac:dyDescent="0.3">
      <c r="A686" s="35">
        <v>13</v>
      </c>
      <c r="B686" s="36" t="str">
        <f t="shared" si="29"/>
        <v>Kamari</v>
      </c>
      <c r="C686" s="37">
        <f t="shared" si="30"/>
        <v>7100000</v>
      </c>
      <c r="D686" s="11">
        <f t="shared" si="31"/>
        <v>213000</v>
      </c>
      <c r="E686" s="29"/>
      <c r="F686" s="29"/>
      <c r="G686" s="29"/>
      <c r="H686" s="29"/>
      <c r="I686" s="11">
        <f t="shared" si="32"/>
        <v>7100000</v>
      </c>
    </row>
    <row r="687" spans="1:9" x14ac:dyDescent="0.3">
      <c r="A687" s="35">
        <v>14</v>
      </c>
      <c r="B687" s="36" t="str">
        <f t="shared" si="29"/>
        <v xml:space="preserve">Kolidi </v>
      </c>
      <c r="C687" s="37">
        <f t="shared" si="30"/>
        <v>3000000</v>
      </c>
      <c r="D687" s="11">
        <f t="shared" si="31"/>
        <v>90000</v>
      </c>
      <c r="E687" s="29"/>
      <c r="F687" s="29"/>
      <c r="G687" s="29"/>
      <c r="H687" s="29"/>
      <c r="I687" s="11">
        <f t="shared" si="32"/>
        <v>3000000</v>
      </c>
    </row>
    <row r="688" spans="1:9" x14ac:dyDescent="0.3">
      <c r="A688" s="35">
        <v>15</v>
      </c>
      <c r="B688" s="36" t="str">
        <f t="shared" si="29"/>
        <v>Kuspandi</v>
      </c>
      <c r="C688" s="37">
        <f t="shared" si="30"/>
        <v>1500000</v>
      </c>
      <c r="D688" s="11">
        <f t="shared" si="31"/>
        <v>45000</v>
      </c>
      <c r="E688" s="29"/>
      <c r="F688" s="29"/>
      <c r="G688" s="29"/>
      <c r="H688" s="29"/>
      <c r="I688" s="11">
        <f t="shared" si="32"/>
        <v>1500000</v>
      </c>
    </row>
    <row r="689" spans="1:9" x14ac:dyDescent="0.3">
      <c r="A689" s="35">
        <v>16</v>
      </c>
      <c r="B689" s="36" t="str">
        <f t="shared" si="29"/>
        <v>Malikan</v>
      </c>
      <c r="C689" s="37">
        <f t="shared" si="30"/>
        <v>500000</v>
      </c>
      <c r="D689" s="11">
        <f t="shared" si="31"/>
        <v>15000</v>
      </c>
      <c r="E689" s="29"/>
      <c r="F689" s="29"/>
      <c r="G689" s="29"/>
      <c r="H689" s="29"/>
      <c r="I689" s="11">
        <f t="shared" si="32"/>
        <v>500000</v>
      </c>
    </row>
    <row r="690" spans="1:9" x14ac:dyDescent="0.3">
      <c r="A690" s="35">
        <v>17</v>
      </c>
      <c r="B690" s="36" t="str">
        <f t="shared" si="29"/>
        <v xml:space="preserve">Mardiyah </v>
      </c>
      <c r="C690" s="37">
        <f t="shared" si="30"/>
        <v>11000000</v>
      </c>
      <c r="D690" s="11">
        <f t="shared" si="31"/>
        <v>330000</v>
      </c>
      <c r="E690" s="29"/>
      <c r="F690" s="29"/>
      <c r="G690" s="29"/>
      <c r="H690" s="29"/>
      <c r="I690" s="11">
        <f t="shared" si="32"/>
        <v>11000000</v>
      </c>
    </row>
    <row r="691" spans="1:9" x14ac:dyDescent="0.3">
      <c r="A691" s="35">
        <v>18</v>
      </c>
      <c r="B691" s="36" t="str">
        <f t="shared" si="29"/>
        <v>Matakrip</v>
      </c>
      <c r="C691" s="37">
        <f t="shared" si="30"/>
        <v>2000000</v>
      </c>
      <c r="D691" s="11">
        <f t="shared" si="31"/>
        <v>60000</v>
      </c>
      <c r="E691" s="29"/>
      <c r="F691" s="29"/>
      <c r="G691" s="29"/>
      <c r="H691" s="29"/>
      <c r="I691" s="11">
        <f t="shared" si="32"/>
        <v>2000000</v>
      </c>
    </row>
    <row r="692" spans="1:9" x14ac:dyDescent="0.3">
      <c r="A692" s="35">
        <v>19</v>
      </c>
      <c r="B692" s="36" t="str">
        <f t="shared" si="29"/>
        <v>Isti Umami</v>
      </c>
      <c r="C692" s="37">
        <f t="shared" si="30"/>
        <v>3900000</v>
      </c>
      <c r="D692" s="11">
        <f t="shared" si="31"/>
        <v>117000</v>
      </c>
      <c r="E692" s="29"/>
      <c r="F692" s="29"/>
      <c r="G692" s="29"/>
      <c r="H692" s="29"/>
      <c r="I692" s="11">
        <f t="shared" si="32"/>
        <v>3900000</v>
      </c>
    </row>
    <row r="693" spans="1:9" x14ac:dyDescent="0.3">
      <c r="A693" s="35">
        <v>20</v>
      </c>
      <c r="B693" s="36" t="str">
        <f t="shared" si="29"/>
        <v>Mathoha</v>
      </c>
      <c r="C693" s="37">
        <f t="shared" si="30"/>
        <v>3500000</v>
      </c>
      <c r="D693" s="11">
        <f t="shared" si="31"/>
        <v>105000</v>
      </c>
      <c r="E693" s="29"/>
      <c r="F693" s="29"/>
      <c r="G693" s="29">
        <v>500000</v>
      </c>
      <c r="H693" s="29"/>
      <c r="I693" s="11">
        <f t="shared" si="32"/>
        <v>4000000</v>
      </c>
    </row>
    <row r="694" spans="1:9" x14ac:dyDescent="0.3">
      <c r="A694" s="35">
        <v>21</v>
      </c>
      <c r="B694" s="36" t="str">
        <f t="shared" si="29"/>
        <v>Matkasan</v>
      </c>
      <c r="C694" s="37">
        <f t="shared" si="30"/>
        <v>1000000</v>
      </c>
      <c r="D694" s="11">
        <f t="shared" si="31"/>
        <v>30000</v>
      </c>
      <c r="E694" s="29"/>
      <c r="F694" s="29"/>
      <c r="G694" s="29"/>
      <c r="H694" s="29"/>
      <c r="I694" s="11">
        <f t="shared" si="32"/>
        <v>1000000</v>
      </c>
    </row>
    <row r="695" spans="1:9" x14ac:dyDescent="0.3">
      <c r="A695" s="35">
        <v>22</v>
      </c>
      <c r="B695" s="36" t="str">
        <f t="shared" si="29"/>
        <v>Umi Nadhiroh</v>
      </c>
      <c r="C695" s="37">
        <f t="shared" si="30"/>
        <v>4500000</v>
      </c>
      <c r="D695" s="11">
        <f t="shared" si="31"/>
        <v>135000</v>
      </c>
      <c r="E695" s="29"/>
      <c r="F695" s="29"/>
      <c r="G695" s="29">
        <v>1000000</v>
      </c>
      <c r="H695" s="29"/>
      <c r="I695" s="11">
        <f t="shared" si="32"/>
        <v>5500000</v>
      </c>
    </row>
    <row r="696" spans="1:9" x14ac:dyDescent="0.3">
      <c r="A696" s="35">
        <v>23</v>
      </c>
      <c r="B696" s="36" t="str">
        <f t="shared" si="29"/>
        <v>Mi'an</v>
      </c>
      <c r="C696" s="37">
        <f t="shared" si="30"/>
        <v>5700000</v>
      </c>
      <c r="D696" s="11">
        <f t="shared" si="31"/>
        <v>171000</v>
      </c>
      <c r="E696" s="29"/>
      <c r="F696" s="29"/>
      <c r="G696" s="29"/>
      <c r="H696" s="29"/>
      <c r="I696" s="11">
        <f t="shared" si="32"/>
        <v>5700000</v>
      </c>
    </row>
    <row r="697" spans="1:9" x14ac:dyDescent="0.3">
      <c r="A697" s="35">
        <v>24</v>
      </c>
      <c r="B697" s="36" t="str">
        <f t="shared" si="29"/>
        <v>Mu'minin</v>
      </c>
      <c r="C697" s="37">
        <f t="shared" si="30"/>
        <v>4120000</v>
      </c>
      <c r="D697" s="11">
        <f t="shared" si="31"/>
        <v>123600</v>
      </c>
      <c r="E697" s="29"/>
      <c r="F697" s="29"/>
      <c r="G697" s="29"/>
      <c r="H697" s="29"/>
      <c r="I697" s="11">
        <f t="shared" si="32"/>
        <v>4120000</v>
      </c>
    </row>
    <row r="698" spans="1:9" x14ac:dyDescent="0.3">
      <c r="A698" s="35">
        <v>25</v>
      </c>
      <c r="B698" s="36" t="str">
        <f t="shared" si="29"/>
        <v>Munawar</v>
      </c>
      <c r="C698" s="37">
        <f t="shared" si="30"/>
        <v>3300000</v>
      </c>
      <c r="D698" s="11">
        <f t="shared" si="31"/>
        <v>99000</v>
      </c>
      <c r="E698" s="29"/>
      <c r="F698" s="29"/>
      <c r="G698" s="29"/>
      <c r="H698" s="29"/>
      <c r="I698" s="11">
        <f t="shared" si="32"/>
        <v>3300000</v>
      </c>
    </row>
    <row r="699" spans="1:9" x14ac:dyDescent="0.3">
      <c r="A699" s="35">
        <v>26</v>
      </c>
      <c r="B699" s="36" t="str">
        <f t="shared" si="29"/>
        <v>Muslikatin</v>
      </c>
      <c r="C699" s="37">
        <f t="shared" si="30"/>
        <v>1000000</v>
      </c>
      <c r="D699" s="11">
        <f t="shared" si="31"/>
        <v>30000</v>
      </c>
      <c r="E699" s="29"/>
      <c r="F699" s="29"/>
      <c r="G699" s="29"/>
      <c r="H699" s="29"/>
      <c r="I699" s="11">
        <f t="shared" si="32"/>
        <v>1000000</v>
      </c>
    </row>
    <row r="700" spans="1:9" x14ac:dyDescent="0.3">
      <c r="A700" s="35">
        <v>27</v>
      </c>
      <c r="B700" s="36" t="str">
        <f t="shared" si="29"/>
        <v>Nurhadi</v>
      </c>
      <c r="C700" s="37">
        <f t="shared" si="30"/>
        <v>2000000</v>
      </c>
      <c r="D700" s="11">
        <f t="shared" si="31"/>
        <v>60000</v>
      </c>
      <c r="E700" s="29"/>
      <c r="F700" s="29"/>
      <c r="G700" s="29"/>
      <c r="H700" s="29"/>
      <c r="I700" s="11">
        <f t="shared" si="32"/>
        <v>2000000</v>
      </c>
    </row>
    <row r="701" spans="1:9" x14ac:dyDescent="0.3">
      <c r="A701" s="35">
        <v>28</v>
      </c>
      <c r="B701" s="36" t="str">
        <f t="shared" si="29"/>
        <v>Siti Nurmahmudah</v>
      </c>
      <c r="C701" s="37">
        <f t="shared" si="30"/>
        <v>7426300</v>
      </c>
      <c r="D701" s="11">
        <f t="shared" si="31"/>
        <v>222789</v>
      </c>
      <c r="E701" s="29"/>
      <c r="F701" s="29"/>
      <c r="G701" s="29"/>
      <c r="H701" s="29"/>
      <c r="I701" s="11">
        <f t="shared" si="32"/>
        <v>7426300</v>
      </c>
    </row>
    <row r="702" spans="1:9" x14ac:dyDescent="0.3">
      <c r="A702" s="35">
        <v>29</v>
      </c>
      <c r="B702" s="36" t="str">
        <f t="shared" si="29"/>
        <v>Saeman</v>
      </c>
      <c r="C702" s="37">
        <f t="shared" si="30"/>
        <v>10000000</v>
      </c>
      <c r="D702" s="11">
        <f t="shared" si="31"/>
        <v>300000</v>
      </c>
      <c r="E702" s="29"/>
      <c r="F702" s="29"/>
      <c r="G702" s="29"/>
      <c r="H702" s="29"/>
      <c r="I702" s="11">
        <f t="shared" si="32"/>
        <v>10000000</v>
      </c>
    </row>
    <row r="703" spans="1:9" x14ac:dyDescent="0.3">
      <c r="A703" s="35">
        <v>30</v>
      </c>
      <c r="B703" s="36" t="str">
        <f t="shared" si="29"/>
        <v>Sarto</v>
      </c>
      <c r="C703" s="37">
        <f t="shared" si="30"/>
        <v>2000000</v>
      </c>
      <c r="D703" s="11">
        <f t="shared" si="31"/>
        <v>60000</v>
      </c>
      <c r="E703" s="29"/>
      <c r="F703" s="29"/>
      <c r="G703" s="29"/>
      <c r="H703" s="29"/>
      <c r="I703" s="11">
        <f t="shared" si="32"/>
        <v>2000000</v>
      </c>
    </row>
    <row r="704" spans="1:9" x14ac:dyDescent="0.3">
      <c r="A704" s="35">
        <v>31</v>
      </c>
      <c r="B704" s="36" t="str">
        <f t="shared" si="29"/>
        <v>Sholik 9</v>
      </c>
      <c r="C704" s="37">
        <f t="shared" si="30"/>
        <v>22605845</v>
      </c>
      <c r="D704" s="11">
        <f t="shared" si="31"/>
        <v>678175.35</v>
      </c>
      <c r="E704" s="29"/>
      <c r="F704" s="29"/>
      <c r="G704" s="29">
        <v>678175</v>
      </c>
      <c r="H704" s="29"/>
      <c r="I704" s="11">
        <f t="shared" si="32"/>
        <v>23284020</v>
      </c>
    </row>
    <row r="705" spans="1:9" x14ac:dyDescent="0.3">
      <c r="A705" s="35">
        <v>32</v>
      </c>
      <c r="B705" s="36" t="str">
        <f t="shared" si="29"/>
        <v>Siono</v>
      </c>
      <c r="C705" s="37">
        <f t="shared" si="30"/>
        <v>6556362</v>
      </c>
      <c r="D705" s="11">
        <f t="shared" si="31"/>
        <v>196690.86</v>
      </c>
      <c r="E705" s="29"/>
      <c r="F705" s="29"/>
      <c r="G705" s="29">
        <v>196691</v>
      </c>
      <c r="H705" s="29"/>
      <c r="I705" s="11">
        <f t="shared" si="32"/>
        <v>6753053</v>
      </c>
    </row>
    <row r="706" spans="1:9" x14ac:dyDescent="0.3">
      <c r="A706" s="35">
        <v>33</v>
      </c>
      <c r="B706" s="36" t="str">
        <f t="shared" si="29"/>
        <v>Sumadi</v>
      </c>
      <c r="C706" s="37">
        <f t="shared" si="30"/>
        <v>9500000</v>
      </c>
      <c r="D706" s="11">
        <f t="shared" si="31"/>
        <v>285000</v>
      </c>
      <c r="E706" s="29"/>
      <c r="F706" s="29"/>
      <c r="G706" s="29"/>
      <c r="H706" s="29"/>
      <c r="I706" s="11">
        <f t="shared" si="32"/>
        <v>9500000</v>
      </c>
    </row>
    <row r="707" spans="1:9" x14ac:dyDescent="0.3">
      <c r="A707" s="35">
        <v>34</v>
      </c>
      <c r="B707" s="36" t="str">
        <f t="shared" si="29"/>
        <v>Sumar</v>
      </c>
      <c r="C707" s="37">
        <f t="shared" si="30"/>
        <v>5500000</v>
      </c>
      <c r="D707" s="11">
        <f t="shared" si="31"/>
        <v>165000</v>
      </c>
      <c r="E707" s="29"/>
      <c r="F707" s="29"/>
      <c r="G707" s="29"/>
      <c r="H707" s="29"/>
      <c r="I707" s="11">
        <f t="shared" si="32"/>
        <v>5500000</v>
      </c>
    </row>
    <row r="708" spans="1:9" x14ac:dyDescent="0.3">
      <c r="A708" s="35">
        <v>35</v>
      </c>
      <c r="B708" s="36" t="str">
        <f t="shared" si="29"/>
        <v>Sunamah</v>
      </c>
      <c r="C708" s="37">
        <f t="shared" si="30"/>
        <v>10000000</v>
      </c>
      <c r="D708" s="11">
        <f t="shared" si="31"/>
        <v>300000</v>
      </c>
      <c r="E708" s="29"/>
      <c r="F708" s="29"/>
      <c r="G708" s="29">
        <v>4500000</v>
      </c>
      <c r="H708" s="29"/>
      <c r="I708" s="11">
        <f t="shared" si="32"/>
        <v>14500000</v>
      </c>
    </row>
    <row r="709" spans="1:9" x14ac:dyDescent="0.3">
      <c r="A709" s="35">
        <v>36</v>
      </c>
      <c r="B709" s="36" t="str">
        <f t="shared" si="29"/>
        <v>Supiani</v>
      </c>
      <c r="C709" s="37">
        <f t="shared" si="30"/>
        <v>2000000</v>
      </c>
      <c r="D709" s="11">
        <f t="shared" si="31"/>
        <v>60000</v>
      </c>
      <c r="E709" s="29"/>
      <c r="F709" s="29"/>
      <c r="G709" s="29">
        <v>500000</v>
      </c>
      <c r="H709" s="29"/>
      <c r="I709" s="11">
        <f t="shared" si="32"/>
        <v>2500000</v>
      </c>
    </row>
    <row r="710" spans="1:9" x14ac:dyDescent="0.3">
      <c r="A710" s="35">
        <v>37</v>
      </c>
      <c r="B710" s="36" t="str">
        <f t="shared" si="29"/>
        <v>Supriaji</v>
      </c>
      <c r="C710" s="37">
        <f t="shared" si="30"/>
        <v>12000000</v>
      </c>
      <c r="D710" s="11">
        <f t="shared" si="31"/>
        <v>360000</v>
      </c>
      <c r="E710" s="29"/>
      <c r="F710" s="29"/>
      <c r="G710" s="29"/>
      <c r="H710" s="29"/>
      <c r="I710" s="11">
        <f t="shared" si="32"/>
        <v>12000000</v>
      </c>
    </row>
    <row r="711" spans="1:9" x14ac:dyDescent="0.3">
      <c r="A711" s="35">
        <v>38</v>
      </c>
      <c r="B711" s="36" t="str">
        <f t="shared" si="29"/>
        <v>Suwanan/Iksan</v>
      </c>
      <c r="C711" s="37">
        <f t="shared" si="30"/>
        <v>6000000</v>
      </c>
      <c r="D711" s="11">
        <f t="shared" si="31"/>
        <v>180000</v>
      </c>
      <c r="E711" s="29"/>
      <c r="F711" s="29"/>
      <c r="G711" s="29"/>
      <c r="H711" s="29"/>
      <c r="I711" s="11">
        <f>C711+E711-F711+G711-H711</f>
        <v>6000000</v>
      </c>
    </row>
    <row r="712" spans="1:9" x14ac:dyDescent="0.3">
      <c r="A712" s="35">
        <v>39</v>
      </c>
      <c r="B712" s="36" t="str">
        <f t="shared" si="29"/>
        <v>Suwari</v>
      </c>
      <c r="C712" s="37">
        <f t="shared" si="30"/>
        <v>1000000</v>
      </c>
      <c r="D712" s="11">
        <f t="shared" si="31"/>
        <v>30000</v>
      </c>
      <c r="E712" s="29"/>
      <c r="F712" s="29"/>
      <c r="G712" s="29"/>
      <c r="H712" s="29"/>
      <c r="I712" s="11">
        <f t="shared" si="32"/>
        <v>1000000</v>
      </c>
    </row>
    <row r="713" spans="1:9" x14ac:dyDescent="0.3">
      <c r="A713" s="35">
        <v>40</v>
      </c>
      <c r="B713" s="36" t="str">
        <f t="shared" si="29"/>
        <v>Suyono 2</v>
      </c>
      <c r="C713" s="37">
        <f t="shared" si="30"/>
        <v>8500000</v>
      </c>
      <c r="D713" s="11">
        <f t="shared" si="31"/>
        <v>255000</v>
      </c>
      <c r="E713" s="29"/>
      <c r="F713" s="29"/>
      <c r="G713" s="29"/>
      <c r="H713" s="29"/>
      <c r="I713" s="11">
        <f t="shared" si="32"/>
        <v>8500000</v>
      </c>
    </row>
    <row r="714" spans="1:9" x14ac:dyDescent="0.3">
      <c r="A714" s="35">
        <v>41</v>
      </c>
      <c r="B714" s="36" t="str">
        <f t="shared" si="29"/>
        <v>Tisno</v>
      </c>
      <c r="C714" s="37">
        <f t="shared" si="30"/>
        <v>2000000</v>
      </c>
      <c r="D714" s="11">
        <f t="shared" si="31"/>
        <v>60000</v>
      </c>
      <c r="E714" s="29"/>
      <c r="F714" s="29"/>
      <c r="G714" s="29"/>
      <c r="H714" s="29"/>
      <c r="I714" s="11">
        <f t="shared" si="32"/>
        <v>2000000</v>
      </c>
    </row>
    <row r="715" spans="1:9" x14ac:dyDescent="0.3">
      <c r="A715" s="35">
        <v>42</v>
      </c>
      <c r="B715" s="36" t="str">
        <f t="shared" si="29"/>
        <v>Umi Kulsum</v>
      </c>
      <c r="C715" s="37">
        <f t="shared" si="30"/>
        <v>4000000</v>
      </c>
      <c r="D715" s="11">
        <f t="shared" si="31"/>
        <v>120000</v>
      </c>
      <c r="E715" s="61"/>
      <c r="F715" s="61"/>
      <c r="G715" s="61"/>
      <c r="H715" s="29"/>
      <c r="I715" s="11">
        <f t="shared" si="32"/>
        <v>4000000</v>
      </c>
    </row>
    <row r="716" spans="1:9" x14ac:dyDescent="0.3">
      <c r="A716" s="35">
        <v>43</v>
      </c>
      <c r="B716" s="36" t="str">
        <f t="shared" si="29"/>
        <v>Rofiq</v>
      </c>
      <c r="C716" s="37">
        <f t="shared" si="30"/>
        <v>4000000</v>
      </c>
      <c r="D716" s="11">
        <f t="shared" si="31"/>
        <v>120000</v>
      </c>
      <c r="E716" s="61"/>
      <c r="F716" s="61"/>
      <c r="G716" s="61"/>
      <c r="H716" s="29"/>
      <c r="I716" s="11">
        <f t="shared" si="32"/>
        <v>4000000</v>
      </c>
    </row>
    <row r="717" spans="1:9" x14ac:dyDescent="0.3">
      <c r="A717" s="35">
        <v>44</v>
      </c>
      <c r="B717" s="36" t="str">
        <f t="shared" si="29"/>
        <v>Zumaroh</v>
      </c>
      <c r="C717" s="37">
        <f t="shared" si="30"/>
        <v>3000000</v>
      </c>
      <c r="D717" s="11">
        <f t="shared" si="31"/>
        <v>90000</v>
      </c>
      <c r="E717" s="61"/>
      <c r="F717" s="61"/>
      <c r="G717" s="61"/>
      <c r="H717" s="29"/>
      <c r="I717" s="11">
        <f t="shared" si="32"/>
        <v>3000000</v>
      </c>
    </row>
    <row r="718" spans="1:9" x14ac:dyDescent="0.3">
      <c r="A718" s="35">
        <v>45</v>
      </c>
      <c r="B718" s="36" t="str">
        <f t="shared" si="29"/>
        <v>Ning Husniah</v>
      </c>
      <c r="C718" s="37">
        <f t="shared" si="30"/>
        <v>1000000</v>
      </c>
      <c r="D718" s="11">
        <f t="shared" si="31"/>
        <v>30000</v>
      </c>
      <c r="E718" s="29"/>
      <c r="F718" s="29"/>
      <c r="G718" s="29"/>
      <c r="H718" s="29"/>
      <c r="I718" s="11">
        <f t="shared" si="32"/>
        <v>1000000</v>
      </c>
    </row>
    <row r="719" spans="1:9" x14ac:dyDescent="0.3">
      <c r="A719" s="39">
        <v>46</v>
      </c>
      <c r="B719" s="36" t="str">
        <f t="shared" si="29"/>
        <v>Lu'luur R</v>
      </c>
      <c r="C719" s="37">
        <f t="shared" si="30"/>
        <v>7000000</v>
      </c>
      <c r="D719" s="11">
        <f t="shared" si="31"/>
        <v>210000</v>
      </c>
      <c r="E719" s="62"/>
      <c r="F719" s="62"/>
      <c r="G719" s="62"/>
      <c r="H719" s="63"/>
      <c r="I719" s="11">
        <f t="shared" si="32"/>
        <v>7000000</v>
      </c>
    </row>
    <row r="720" spans="1:9" x14ac:dyDescent="0.3">
      <c r="A720" s="35">
        <v>47</v>
      </c>
      <c r="B720" s="36" t="str">
        <f t="shared" si="29"/>
        <v>Umar</v>
      </c>
      <c r="C720" s="37">
        <f t="shared" si="30"/>
        <v>2500000</v>
      </c>
      <c r="D720" s="11">
        <f t="shared" si="31"/>
        <v>75000</v>
      </c>
      <c r="E720" s="61"/>
      <c r="F720" s="61"/>
      <c r="G720" s="61"/>
      <c r="H720" s="29"/>
      <c r="I720" s="11">
        <f t="shared" si="32"/>
        <v>2500000</v>
      </c>
    </row>
    <row r="721" spans="1:9" x14ac:dyDescent="0.3">
      <c r="A721" s="35">
        <v>48</v>
      </c>
      <c r="B721" s="36" t="str">
        <f t="shared" si="29"/>
        <v>Ana/Bu Khoiri</v>
      </c>
      <c r="C721" s="37">
        <f t="shared" si="30"/>
        <v>1030000</v>
      </c>
      <c r="D721" s="11">
        <f t="shared" si="31"/>
        <v>30900</v>
      </c>
      <c r="E721" s="29"/>
      <c r="F721" s="29"/>
      <c r="G721" s="29"/>
      <c r="H721" s="29"/>
      <c r="I721" s="11">
        <f t="shared" si="32"/>
        <v>1030000</v>
      </c>
    </row>
    <row r="722" spans="1:9" x14ac:dyDescent="0.3">
      <c r="A722" s="35">
        <v>49</v>
      </c>
      <c r="B722" s="36" t="str">
        <f t="shared" si="29"/>
        <v>Anik Mahsunah W</v>
      </c>
      <c r="C722" s="37">
        <f t="shared" si="30"/>
        <v>2000000</v>
      </c>
      <c r="D722" s="11">
        <f t="shared" si="31"/>
        <v>60000</v>
      </c>
      <c r="E722" s="29"/>
      <c r="F722" s="29"/>
      <c r="G722" s="29"/>
      <c r="H722" s="29"/>
      <c r="I722" s="11">
        <f t="shared" si="32"/>
        <v>2000000</v>
      </c>
    </row>
    <row r="723" spans="1:9" x14ac:dyDescent="0.3">
      <c r="A723" s="35">
        <v>50</v>
      </c>
      <c r="B723" s="36" t="str">
        <f t="shared" si="29"/>
        <v>Fajrul Ummah</v>
      </c>
      <c r="C723" s="37">
        <f t="shared" si="30"/>
        <v>18570896</v>
      </c>
      <c r="D723" s="11">
        <f t="shared" si="31"/>
        <v>557126.88</v>
      </c>
      <c r="E723" s="29"/>
      <c r="F723" s="29"/>
      <c r="G723" s="29">
        <v>557127</v>
      </c>
      <c r="H723" s="29"/>
      <c r="I723" s="11">
        <f t="shared" si="32"/>
        <v>19128023</v>
      </c>
    </row>
    <row r="724" spans="1:9" x14ac:dyDescent="0.3">
      <c r="A724" s="35">
        <v>51</v>
      </c>
      <c r="B724" s="36" t="str">
        <f t="shared" si="29"/>
        <v>Imam Masrodin</v>
      </c>
      <c r="C724" s="37">
        <f t="shared" si="30"/>
        <v>500000</v>
      </c>
      <c r="D724" s="11">
        <f t="shared" si="31"/>
        <v>15000</v>
      </c>
      <c r="E724" s="29"/>
      <c r="F724" s="29"/>
      <c r="G724" s="29"/>
      <c r="H724" s="29"/>
      <c r="I724" s="11">
        <f t="shared" si="32"/>
        <v>500000</v>
      </c>
    </row>
    <row r="725" spans="1:9" x14ac:dyDescent="0.3">
      <c r="A725" s="35">
        <v>52</v>
      </c>
      <c r="B725" s="36" t="str">
        <f t="shared" si="29"/>
        <v>Muayanah</v>
      </c>
      <c r="C725" s="37">
        <f t="shared" si="30"/>
        <v>10300000</v>
      </c>
      <c r="D725" s="11">
        <f t="shared" si="31"/>
        <v>309000</v>
      </c>
      <c r="E725" s="61"/>
      <c r="F725" s="61"/>
      <c r="G725" s="61">
        <v>1000000</v>
      </c>
      <c r="H725" s="29"/>
      <c r="I725" s="11">
        <f t="shared" si="32"/>
        <v>11300000</v>
      </c>
    </row>
    <row r="726" spans="1:9" x14ac:dyDescent="0.3">
      <c r="A726" s="35">
        <v>53</v>
      </c>
      <c r="B726" s="36" t="str">
        <f t="shared" si="29"/>
        <v>Siswanto</v>
      </c>
      <c r="C726" s="37">
        <f t="shared" si="30"/>
        <v>3000000</v>
      </c>
      <c r="D726" s="11">
        <f t="shared" si="31"/>
        <v>90000</v>
      </c>
      <c r="E726" s="61"/>
      <c r="F726" s="61"/>
      <c r="G726" s="61"/>
      <c r="H726" s="29"/>
      <c r="I726" s="11">
        <f t="shared" si="32"/>
        <v>3000000</v>
      </c>
    </row>
    <row r="727" spans="1:9" x14ac:dyDescent="0.3">
      <c r="A727" s="35">
        <v>54</v>
      </c>
      <c r="B727" s="36" t="str">
        <f t="shared" si="29"/>
        <v>Bin Asiyah</v>
      </c>
      <c r="C727" s="37">
        <f t="shared" si="30"/>
        <v>6000000</v>
      </c>
      <c r="D727" s="11">
        <f t="shared" si="31"/>
        <v>180000</v>
      </c>
      <c r="E727" s="61"/>
      <c r="F727" s="61"/>
      <c r="G727" s="61"/>
      <c r="H727" s="29"/>
      <c r="I727" s="11">
        <f t="shared" si="32"/>
        <v>6000000</v>
      </c>
    </row>
    <row r="728" spans="1:9" x14ac:dyDescent="0.3">
      <c r="A728" s="35">
        <v>55</v>
      </c>
      <c r="B728" s="36" t="str">
        <f t="shared" si="29"/>
        <v>Tayem</v>
      </c>
      <c r="C728" s="37">
        <f t="shared" si="30"/>
        <v>14500000</v>
      </c>
      <c r="D728" s="11">
        <f t="shared" si="31"/>
        <v>435000</v>
      </c>
      <c r="E728" s="61"/>
      <c r="F728" s="61"/>
      <c r="G728" s="61"/>
      <c r="H728" s="29"/>
      <c r="I728" s="11">
        <f t="shared" si="32"/>
        <v>14500000</v>
      </c>
    </row>
    <row r="729" spans="1:9" x14ac:dyDescent="0.3">
      <c r="A729" s="35">
        <v>56</v>
      </c>
      <c r="B729" s="36" t="str">
        <f t="shared" si="29"/>
        <v>Sholahuddin Afif</v>
      </c>
      <c r="C729" s="37">
        <f t="shared" si="30"/>
        <v>15000000</v>
      </c>
      <c r="D729" s="11">
        <f t="shared" si="31"/>
        <v>450000</v>
      </c>
      <c r="E729" s="61"/>
      <c r="F729" s="61"/>
      <c r="G729" s="61"/>
      <c r="H729" s="29"/>
      <c r="I729" s="11">
        <f t="shared" si="32"/>
        <v>15000000</v>
      </c>
    </row>
    <row r="730" spans="1:9" x14ac:dyDescent="0.3">
      <c r="A730" s="35">
        <v>57</v>
      </c>
      <c r="B730" s="36" t="str">
        <f t="shared" si="29"/>
        <v>Masithah</v>
      </c>
      <c r="C730" s="37">
        <f t="shared" si="30"/>
        <v>1000000</v>
      </c>
      <c r="D730" s="11">
        <f t="shared" si="31"/>
        <v>30000</v>
      </c>
      <c r="E730" s="61"/>
      <c r="F730" s="61"/>
      <c r="G730" s="61"/>
      <c r="H730" s="29"/>
      <c r="I730" s="11">
        <f t="shared" si="32"/>
        <v>1000000</v>
      </c>
    </row>
    <row r="731" spans="1:9" x14ac:dyDescent="0.3">
      <c r="A731" s="35">
        <v>58</v>
      </c>
      <c r="B731" s="36" t="str">
        <f t="shared" si="29"/>
        <v>Rikayati</v>
      </c>
      <c r="C731" s="37">
        <f t="shared" si="30"/>
        <v>2000000</v>
      </c>
      <c r="D731" s="11">
        <f t="shared" si="31"/>
        <v>60000</v>
      </c>
      <c r="E731" s="29"/>
      <c r="F731" s="29"/>
      <c r="G731" s="29"/>
      <c r="H731" s="29"/>
      <c r="I731" s="11">
        <f t="shared" si="32"/>
        <v>2000000</v>
      </c>
    </row>
    <row r="732" spans="1:9" x14ac:dyDescent="0.3">
      <c r="A732" s="35">
        <v>59</v>
      </c>
      <c r="B732" s="36" t="str">
        <f t="shared" si="29"/>
        <v>Misbahuddin</v>
      </c>
      <c r="C732" s="37">
        <f t="shared" si="30"/>
        <v>3000000</v>
      </c>
      <c r="D732" s="11">
        <f t="shared" si="31"/>
        <v>90000</v>
      </c>
      <c r="E732" s="29"/>
      <c r="F732" s="29"/>
      <c r="G732" s="29"/>
      <c r="H732" s="29"/>
      <c r="I732" s="11">
        <f t="shared" si="32"/>
        <v>3000000</v>
      </c>
    </row>
    <row r="733" spans="1:9" x14ac:dyDescent="0.3">
      <c r="A733" s="35">
        <v>60</v>
      </c>
      <c r="B733" s="36" t="str">
        <f t="shared" si="29"/>
        <v>Munisah</v>
      </c>
      <c r="C733" s="37">
        <f t="shared" si="30"/>
        <v>1500000</v>
      </c>
      <c r="D733" s="11">
        <f t="shared" si="31"/>
        <v>45000</v>
      </c>
      <c r="E733" s="29"/>
      <c r="F733" s="29"/>
      <c r="G733" s="29"/>
      <c r="H733" s="29"/>
      <c r="I733" s="11">
        <f t="shared" si="32"/>
        <v>1500000</v>
      </c>
    </row>
    <row r="734" spans="1:9" x14ac:dyDescent="0.3">
      <c r="A734" s="35">
        <v>61</v>
      </c>
      <c r="B734" s="36">
        <f t="shared" si="29"/>
        <v>0</v>
      </c>
      <c r="C734" s="37">
        <f t="shared" si="30"/>
        <v>0</v>
      </c>
      <c r="D734" s="11">
        <f t="shared" si="31"/>
        <v>0</v>
      </c>
      <c r="E734" s="29"/>
      <c r="F734" s="29"/>
      <c r="G734" s="29"/>
      <c r="H734" s="29"/>
      <c r="I734" s="11">
        <f t="shared" si="32"/>
        <v>0</v>
      </c>
    </row>
    <row r="735" spans="1:9" x14ac:dyDescent="0.3">
      <c r="A735" s="35">
        <v>62</v>
      </c>
      <c r="B735" s="36">
        <f t="shared" si="29"/>
        <v>0</v>
      </c>
      <c r="C735" s="37">
        <f t="shared" si="30"/>
        <v>0</v>
      </c>
      <c r="D735" s="11">
        <f t="shared" si="31"/>
        <v>0</v>
      </c>
      <c r="E735" s="61"/>
      <c r="F735" s="29"/>
      <c r="G735" s="29"/>
      <c r="H735" s="29"/>
      <c r="I735" s="11">
        <f t="shared" si="32"/>
        <v>0</v>
      </c>
    </row>
    <row r="736" spans="1:9" x14ac:dyDescent="0.3">
      <c r="A736" s="35">
        <v>63</v>
      </c>
      <c r="B736" s="36">
        <f t="shared" si="29"/>
        <v>0</v>
      </c>
      <c r="C736" s="37">
        <f t="shared" si="30"/>
        <v>0</v>
      </c>
      <c r="D736" s="11">
        <f t="shared" si="31"/>
        <v>0</v>
      </c>
      <c r="E736" s="61"/>
      <c r="F736" s="64"/>
      <c r="G736" s="29"/>
      <c r="H736" s="29"/>
      <c r="I736" s="11">
        <f t="shared" si="32"/>
        <v>0</v>
      </c>
    </row>
    <row r="737" spans="1:9" ht="17.25" thickBot="1" x14ac:dyDescent="0.35">
      <c r="A737" s="44" t="s">
        <v>13</v>
      </c>
      <c r="B737" s="45"/>
      <c r="C737" s="46">
        <f>SUM(C674:C736)</f>
        <v>319728403</v>
      </c>
      <c r="D737" s="47">
        <f>SUM(D674:D736)</f>
        <v>9708252.0899999999</v>
      </c>
      <c r="E737" s="15">
        <f>SUM(E674:E736)</f>
        <v>0</v>
      </c>
      <c r="F737" s="15">
        <f>SUM(F674:F736)</f>
        <v>0</v>
      </c>
      <c r="G737" s="16">
        <f>SUM(G675:G736)</f>
        <v>9551993</v>
      </c>
      <c r="H737" s="16">
        <f>SUM(H674:H736)</f>
        <v>0</v>
      </c>
      <c r="I737" s="17">
        <f>SUM(I674:I736)</f>
        <v>329280396</v>
      </c>
    </row>
    <row r="738" spans="1:9" x14ac:dyDescent="0.3">
      <c r="C738" s="49"/>
      <c r="D738" s="50"/>
      <c r="E738" s="50"/>
      <c r="F738" s="50"/>
      <c r="I738" s="19"/>
    </row>
    <row r="739" spans="1:9" x14ac:dyDescent="0.3">
      <c r="H739" s="2" t="s">
        <v>28</v>
      </c>
    </row>
    <row r="743" spans="1:9" s="3" customFormat="1" x14ac:dyDescent="0.3">
      <c r="A743" s="2"/>
      <c r="B743" s="2"/>
      <c r="C743" s="2"/>
      <c r="D743" s="2"/>
      <c r="E743" s="2"/>
      <c r="F743" s="2"/>
      <c r="G743" s="2"/>
      <c r="H743" s="51" t="s">
        <v>15</v>
      </c>
    </row>
    <row r="758" spans="8:9" x14ac:dyDescent="0.3">
      <c r="H758" s="34"/>
      <c r="I758" s="34"/>
    </row>
    <row r="782" spans="1:9" ht="20.25" x14ac:dyDescent="0.3">
      <c r="A782" s="52" t="s">
        <v>29</v>
      </c>
      <c r="B782" s="52"/>
      <c r="C782" s="52"/>
      <c r="D782" s="52"/>
      <c r="E782" s="52"/>
      <c r="F782" s="52"/>
      <c r="G782" s="52"/>
      <c r="H782" s="52"/>
      <c r="I782" s="52"/>
    </row>
    <row r="784" spans="1:9" ht="49.5" x14ac:dyDescent="0.3">
      <c r="A784" s="53" t="s">
        <v>1</v>
      </c>
      <c r="B784" s="53" t="s">
        <v>2</v>
      </c>
      <c r="C784" s="53" t="s">
        <v>3</v>
      </c>
      <c r="D784" s="55" t="s">
        <v>4</v>
      </c>
      <c r="E784" s="55" t="s">
        <v>5</v>
      </c>
      <c r="F784" s="55" t="s">
        <v>6</v>
      </c>
      <c r="G784" s="55" t="s">
        <v>7</v>
      </c>
      <c r="H784" s="55" t="s">
        <v>8</v>
      </c>
      <c r="I784" s="5" t="s">
        <v>17</v>
      </c>
    </row>
    <row r="785" spans="1:9" x14ac:dyDescent="0.3">
      <c r="A785" s="56"/>
      <c r="B785" s="56"/>
      <c r="C785" s="56"/>
      <c r="D785" s="58">
        <v>46176</v>
      </c>
      <c r="E785" s="58">
        <f>D785</f>
        <v>46176</v>
      </c>
      <c r="F785" s="58">
        <f>E785</f>
        <v>46176</v>
      </c>
      <c r="G785" s="58">
        <f>F785</f>
        <v>46176</v>
      </c>
      <c r="H785" s="58">
        <f>G785</f>
        <v>46176</v>
      </c>
      <c r="I785" s="58">
        <f>H785</f>
        <v>46176</v>
      </c>
    </row>
    <row r="786" spans="1:9" x14ac:dyDescent="0.3">
      <c r="A786" s="35">
        <v>1</v>
      </c>
      <c r="B786" s="36" t="str">
        <f>B674</f>
        <v>Siti Rohmah</v>
      </c>
      <c r="C786" s="37">
        <f>I674</f>
        <v>13500000</v>
      </c>
      <c r="D786" s="11">
        <f>C786*3%</f>
        <v>405000</v>
      </c>
      <c r="E786" s="11"/>
      <c r="F786" s="11"/>
      <c r="G786" s="11"/>
      <c r="H786" s="3"/>
      <c r="I786" s="42">
        <f>C786+E786-F786+G786-H786</f>
        <v>13500000</v>
      </c>
    </row>
    <row r="787" spans="1:9" x14ac:dyDescent="0.3">
      <c r="A787" s="35">
        <v>2</v>
      </c>
      <c r="B787" s="36" t="str">
        <f t="shared" ref="B787:B848" si="33">B675</f>
        <v>Ali Muttaqin</v>
      </c>
      <c r="C787" s="37">
        <f t="shared" ref="C787:C848" si="34">I675</f>
        <v>5000000</v>
      </c>
      <c r="D787" s="11">
        <f t="shared" ref="D787:D848" si="35">C787*3%</f>
        <v>150000</v>
      </c>
      <c r="E787" s="11"/>
      <c r="F787" s="11"/>
      <c r="G787" s="11"/>
      <c r="H787" s="11"/>
      <c r="I787" s="42">
        <f t="shared" ref="I787:I822" si="36">C787+E787-F787+G787-H787</f>
        <v>5000000</v>
      </c>
    </row>
    <row r="788" spans="1:9" x14ac:dyDescent="0.3">
      <c r="A788" s="35">
        <v>3</v>
      </c>
      <c r="B788" s="36" t="str">
        <f t="shared" si="33"/>
        <v>Amnan</v>
      </c>
      <c r="C788" s="37">
        <f t="shared" si="34"/>
        <v>10000000</v>
      </c>
      <c r="D788" s="11">
        <f t="shared" si="35"/>
        <v>300000</v>
      </c>
      <c r="E788" s="11"/>
      <c r="F788" s="11"/>
      <c r="G788" s="11"/>
      <c r="H788" s="11"/>
      <c r="I788" s="42">
        <f t="shared" si="36"/>
        <v>10000000</v>
      </c>
    </row>
    <row r="789" spans="1:9" x14ac:dyDescent="0.3">
      <c r="A789" s="35">
        <v>4</v>
      </c>
      <c r="B789" s="36" t="str">
        <f t="shared" si="33"/>
        <v>Bambang</v>
      </c>
      <c r="C789" s="37">
        <f t="shared" si="34"/>
        <v>7800000</v>
      </c>
      <c r="D789" s="11">
        <f t="shared" si="35"/>
        <v>234000</v>
      </c>
      <c r="E789" s="11"/>
      <c r="F789" s="11"/>
      <c r="G789" s="11"/>
      <c r="H789" s="11"/>
      <c r="I789" s="42">
        <f t="shared" si="36"/>
        <v>7800000</v>
      </c>
    </row>
    <row r="790" spans="1:9" x14ac:dyDescent="0.3">
      <c r="A790" s="35">
        <v>5</v>
      </c>
      <c r="B790" s="36" t="str">
        <f t="shared" si="33"/>
        <v>Erham</v>
      </c>
      <c r="C790" s="37">
        <f t="shared" si="34"/>
        <v>5300000</v>
      </c>
      <c r="D790" s="11">
        <f t="shared" si="35"/>
        <v>159000</v>
      </c>
      <c r="E790" s="11"/>
      <c r="F790" s="11"/>
      <c r="G790" s="11"/>
      <c r="H790" s="11"/>
      <c r="I790" s="42">
        <f t="shared" si="36"/>
        <v>5300000</v>
      </c>
    </row>
    <row r="791" spans="1:9" x14ac:dyDescent="0.3">
      <c r="A791" s="35">
        <v>6</v>
      </c>
      <c r="B791" s="36" t="str">
        <f t="shared" si="33"/>
        <v>Estuningati</v>
      </c>
      <c r="C791" s="37">
        <f t="shared" si="34"/>
        <v>4000000</v>
      </c>
      <c r="D791" s="11">
        <f t="shared" si="35"/>
        <v>120000</v>
      </c>
      <c r="E791" s="11"/>
      <c r="F791" s="11"/>
      <c r="G791" s="11"/>
      <c r="H791" s="11"/>
      <c r="I791" s="42">
        <f t="shared" si="36"/>
        <v>4000000</v>
      </c>
    </row>
    <row r="792" spans="1:9" x14ac:dyDescent="0.3">
      <c r="A792" s="35">
        <v>7</v>
      </c>
      <c r="B792" s="36" t="str">
        <f t="shared" si="33"/>
        <v>Faisal (Subarin)</v>
      </c>
      <c r="C792" s="37">
        <f t="shared" si="34"/>
        <v>4240000</v>
      </c>
      <c r="D792" s="11">
        <f t="shared" si="35"/>
        <v>127200</v>
      </c>
      <c r="E792" s="11"/>
      <c r="F792" s="11"/>
      <c r="G792" s="11"/>
      <c r="H792" s="11"/>
      <c r="I792" s="42">
        <f t="shared" si="36"/>
        <v>4240000</v>
      </c>
    </row>
    <row r="793" spans="1:9" x14ac:dyDescent="0.3">
      <c r="A793" s="35">
        <v>8</v>
      </c>
      <c r="B793" s="36" t="str">
        <f t="shared" si="33"/>
        <v>Hj. Nur Fadhilah</v>
      </c>
      <c r="C793" s="37">
        <f t="shared" si="34"/>
        <v>2000000</v>
      </c>
      <c r="D793" s="11">
        <f t="shared" si="35"/>
        <v>60000</v>
      </c>
      <c r="E793" s="11"/>
      <c r="F793" s="11"/>
      <c r="G793" s="11"/>
      <c r="H793" s="11"/>
      <c r="I793" s="42">
        <f t="shared" si="36"/>
        <v>2000000</v>
      </c>
    </row>
    <row r="794" spans="1:9" x14ac:dyDescent="0.3">
      <c r="A794" s="35">
        <v>9</v>
      </c>
      <c r="B794" s="36" t="str">
        <f t="shared" si="33"/>
        <v>Hanafi</v>
      </c>
      <c r="C794" s="37">
        <f t="shared" si="34"/>
        <v>1000000</v>
      </c>
      <c r="D794" s="11">
        <f t="shared" si="35"/>
        <v>30000</v>
      </c>
      <c r="E794" s="11"/>
      <c r="F794" s="11"/>
      <c r="G794" s="11"/>
      <c r="H794" s="11"/>
      <c r="I794" s="42">
        <f t="shared" si="36"/>
        <v>1000000</v>
      </c>
    </row>
    <row r="795" spans="1:9" x14ac:dyDescent="0.3">
      <c r="A795" s="35">
        <v>10</v>
      </c>
      <c r="B795" s="36" t="str">
        <f t="shared" si="33"/>
        <v>Hidayat</v>
      </c>
      <c r="C795" s="37">
        <f t="shared" si="34"/>
        <v>2000000</v>
      </c>
      <c r="D795" s="11">
        <f t="shared" si="35"/>
        <v>60000</v>
      </c>
      <c r="E795" s="11"/>
      <c r="F795" s="11"/>
      <c r="G795" s="3"/>
      <c r="H795" s="11"/>
      <c r="I795" s="42">
        <f t="shared" si="36"/>
        <v>2000000</v>
      </c>
    </row>
    <row r="796" spans="1:9" x14ac:dyDescent="0.3">
      <c r="A796" s="35">
        <v>11</v>
      </c>
      <c r="B796" s="36" t="str">
        <f t="shared" si="33"/>
        <v>Ika Tartila</v>
      </c>
      <c r="C796" s="37">
        <f t="shared" si="34"/>
        <v>3399000</v>
      </c>
      <c r="D796" s="11">
        <f t="shared" si="35"/>
        <v>101970</v>
      </c>
      <c r="E796" s="11"/>
      <c r="F796" s="11"/>
      <c r="G796" s="11">
        <v>200000</v>
      </c>
      <c r="H796" s="11"/>
      <c r="I796" s="42">
        <f t="shared" si="36"/>
        <v>3599000</v>
      </c>
    </row>
    <row r="797" spans="1:9" x14ac:dyDescent="0.3">
      <c r="A797" s="35">
        <v>12</v>
      </c>
      <c r="B797" s="36" t="str">
        <f t="shared" si="33"/>
        <v>Jumiah 2</v>
      </c>
      <c r="C797" s="37">
        <f t="shared" si="34"/>
        <v>3000000</v>
      </c>
      <c r="D797" s="11">
        <f t="shared" si="35"/>
        <v>90000</v>
      </c>
      <c r="E797" s="11"/>
      <c r="F797" s="11"/>
      <c r="G797" s="11"/>
      <c r="H797" s="11"/>
      <c r="I797" s="42">
        <f t="shared" si="36"/>
        <v>3000000</v>
      </c>
    </row>
    <row r="798" spans="1:9" x14ac:dyDescent="0.3">
      <c r="A798" s="35">
        <v>13</v>
      </c>
      <c r="B798" s="36" t="str">
        <f t="shared" si="33"/>
        <v>Kamari</v>
      </c>
      <c r="C798" s="37">
        <f t="shared" si="34"/>
        <v>7100000</v>
      </c>
      <c r="D798" s="11">
        <f t="shared" si="35"/>
        <v>213000</v>
      </c>
      <c r="E798" s="11"/>
      <c r="F798" s="11"/>
      <c r="G798" s="11"/>
      <c r="H798" s="11"/>
      <c r="I798" s="42">
        <f t="shared" si="36"/>
        <v>7100000</v>
      </c>
    </row>
    <row r="799" spans="1:9" x14ac:dyDescent="0.3">
      <c r="A799" s="35">
        <v>14</v>
      </c>
      <c r="B799" s="36" t="str">
        <f t="shared" si="33"/>
        <v xml:space="preserve">Kolidi </v>
      </c>
      <c r="C799" s="37">
        <f t="shared" si="34"/>
        <v>3000000</v>
      </c>
      <c r="D799" s="11">
        <f t="shared" si="35"/>
        <v>90000</v>
      </c>
      <c r="E799" s="11"/>
      <c r="F799" s="11"/>
      <c r="G799" s="11"/>
      <c r="H799" s="11"/>
      <c r="I799" s="42">
        <f t="shared" si="36"/>
        <v>3000000</v>
      </c>
    </row>
    <row r="800" spans="1:9" x14ac:dyDescent="0.3">
      <c r="A800" s="35">
        <v>15</v>
      </c>
      <c r="B800" s="36" t="str">
        <f t="shared" si="33"/>
        <v>Kuspandi</v>
      </c>
      <c r="C800" s="37">
        <f t="shared" si="34"/>
        <v>1500000</v>
      </c>
      <c r="D800" s="11">
        <f t="shared" si="35"/>
        <v>45000</v>
      </c>
      <c r="E800" s="11"/>
      <c r="F800" s="11"/>
      <c r="G800" s="11"/>
      <c r="H800" s="11"/>
      <c r="I800" s="42">
        <f t="shared" si="36"/>
        <v>1500000</v>
      </c>
    </row>
    <row r="801" spans="1:9" x14ac:dyDescent="0.3">
      <c r="A801" s="35">
        <v>16</v>
      </c>
      <c r="B801" s="36" t="str">
        <f t="shared" si="33"/>
        <v>Malikan</v>
      </c>
      <c r="C801" s="37">
        <f t="shared" si="34"/>
        <v>500000</v>
      </c>
      <c r="D801" s="11">
        <f t="shared" si="35"/>
        <v>15000</v>
      </c>
      <c r="E801" s="11"/>
      <c r="F801" s="11"/>
      <c r="G801" s="11"/>
      <c r="H801" s="11"/>
      <c r="I801" s="42">
        <f t="shared" si="36"/>
        <v>500000</v>
      </c>
    </row>
    <row r="802" spans="1:9" x14ac:dyDescent="0.3">
      <c r="A802" s="35">
        <v>17</v>
      </c>
      <c r="B802" s="36" t="str">
        <f t="shared" si="33"/>
        <v xml:space="preserve">Mardiyah </v>
      </c>
      <c r="C802" s="37">
        <f t="shared" si="34"/>
        <v>11000000</v>
      </c>
      <c r="D802" s="11">
        <f t="shared" si="35"/>
        <v>330000</v>
      </c>
      <c r="E802" s="11"/>
      <c r="F802" s="11"/>
      <c r="G802" s="11"/>
      <c r="H802" s="11"/>
      <c r="I802" s="42">
        <f t="shared" si="36"/>
        <v>11000000</v>
      </c>
    </row>
    <row r="803" spans="1:9" x14ac:dyDescent="0.3">
      <c r="A803" s="35">
        <v>18</v>
      </c>
      <c r="B803" s="36" t="str">
        <f t="shared" si="33"/>
        <v>Matakrip</v>
      </c>
      <c r="C803" s="37">
        <f t="shared" si="34"/>
        <v>2000000</v>
      </c>
      <c r="D803" s="11">
        <f t="shared" si="35"/>
        <v>60000</v>
      </c>
      <c r="E803" s="11"/>
      <c r="F803" s="11"/>
      <c r="G803" s="11"/>
      <c r="H803" s="11"/>
      <c r="I803" s="42">
        <f t="shared" si="36"/>
        <v>2000000</v>
      </c>
    </row>
    <row r="804" spans="1:9" x14ac:dyDescent="0.3">
      <c r="A804" s="35">
        <v>19</v>
      </c>
      <c r="B804" s="36" t="str">
        <f t="shared" si="33"/>
        <v>Isti Umami</v>
      </c>
      <c r="C804" s="37">
        <f t="shared" si="34"/>
        <v>3900000</v>
      </c>
      <c r="D804" s="11">
        <f t="shared" si="35"/>
        <v>117000</v>
      </c>
      <c r="E804" s="11"/>
      <c r="F804" s="11"/>
      <c r="G804" s="11"/>
      <c r="H804" s="11"/>
      <c r="I804" s="42">
        <f t="shared" si="36"/>
        <v>3900000</v>
      </c>
    </row>
    <row r="805" spans="1:9" x14ac:dyDescent="0.3">
      <c r="A805" s="35">
        <v>20</v>
      </c>
      <c r="B805" s="36" t="str">
        <f t="shared" si="33"/>
        <v>Mathoha</v>
      </c>
      <c r="C805" s="37">
        <f t="shared" si="34"/>
        <v>4000000</v>
      </c>
      <c r="D805" s="11">
        <f t="shared" si="35"/>
        <v>120000</v>
      </c>
      <c r="E805" s="11"/>
      <c r="F805" s="11"/>
      <c r="G805" s="11"/>
      <c r="H805" s="11"/>
      <c r="I805" s="42">
        <f t="shared" si="36"/>
        <v>4000000</v>
      </c>
    </row>
    <row r="806" spans="1:9" x14ac:dyDescent="0.3">
      <c r="A806" s="35">
        <v>21</v>
      </c>
      <c r="B806" s="36" t="str">
        <f t="shared" si="33"/>
        <v>Matkasan</v>
      </c>
      <c r="C806" s="37">
        <f t="shared" si="34"/>
        <v>1000000</v>
      </c>
      <c r="D806" s="11">
        <f t="shared" si="35"/>
        <v>30000</v>
      </c>
      <c r="E806" s="11"/>
      <c r="F806" s="11"/>
      <c r="G806" s="11"/>
      <c r="H806" s="11"/>
      <c r="I806" s="42">
        <f t="shared" si="36"/>
        <v>1000000</v>
      </c>
    </row>
    <row r="807" spans="1:9" x14ac:dyDescent="0.3">
      <c r="A807" s="35">
        <v>22</v>
      </c>
      <c r="B807" s="36" t="str">
        <f t="shared" si="33"/>
        <v>Umi Nadhiroh</v>
      </c>
      <c r="C807" s="37">
        <f t="shared" si="34"/>
        <v>5500000</v>
      </c>
      <c r="D807" s="11">
        <f t="shared" si="35"/>
        <v>165000</v>
      </c>
      <c r="E807" s="11"/>
      <c r="F807" s="11"/>
      <c r="G807" s="11">
        <v>2000000</v>
      </c>
      <c r="H807" s="11"/>
      <c r="I807" s="42">
        <f t="shared" si="36"/>
        <v>7500000</v>
      </c>
    </row>
    <row r="808" spans="1:9" x14ac:dyDescent="0.3">
      <c r="A808" s="35">
        <v>23</v>
      </c>
      <c r="B808" s="36" t="str">
        <f t="shared" si="33"/>
        <v>Mi'an</v>
      </c>
      <c r="C808" s="37">
        <f t="shared" si="34"/>
        <v>5700000</v>
      </c>
      <c r="D808" s="11">
        <f t="shared" si="35"/>
        <v>171000</v>
      </c>
      <c r="E808" s="11"/>
      <c r="F808" s="11"/>
      <c r="G808" s="11"/>
      <c r="H808" s="11"/>
      <c r="I808" s="42">
        <f t="shared" si="36"/>
        <v>5700000</v>
      </c>
    </row>
    <row r="809" spans="1:9" x14ac:dyDescent="0.3">
      <c r="A809" s="35">
        <v>24</v>
      </c>
      <c r="B809" s="36" t="str">
        <f t="shared" si="33"/>
        <v>Mu'minin</v>
      </c>
      <c r="C809" s="37">
        <f t="shared" si="34"/>
        <v>4120000</v>
      </c>
      <c r="D809" s="11">
        <f t="shared" si="35"/>
        <v>123600</v>
      </c>
      <c r="E809" s="11"/>
      <c r="F809" s="11"/>
      <c r="G809" s="11"/>
      <c r="H809" s="11"/>
      <c r="I809" s="42">
        <f t="shared" si="36"/>
        <v>4120000</v>
      </c>
    </row>
    <row r="810" spans="1:9" x14ac:dyDescent="0.3">
      <c r="A810" s="35">
        <v>25</v>
      </c>
      <c r="B810" s="36" t="str">
        <f t="shared" si="33"/>
        <v>Munawar</v>
      </c>
      <c r="C810" s="37">
        <f t="shared" si="34"/>
        <v>3300000</v>
      </c>
      <c r="D810" s="11">
        <f t="shared" si="35"/>
        <v>99000</v>
      </c>
      <c r="E810" s="11"/>
      <c r="F810" s="11"/>
      <c r="G810" s="11"/>
      <c r="H810" s="11"/>
      <c r="I810" s="42">
        <f t="shared" si="36"/>
        <v>3300000</v>
      </c>
    </row>
    <row r="811" spans="1:9" x14ac:dyDescent="0.3">
      <c r="A811" s="35">
        <v>26</v>
      </c>
      <c r="B811" s="36" t="str">
        <f t="shared" si="33"/>
        <v>Muslikatin</v>
      </c>
      <c r="C811" s="37">
        <f t="shared" si="34"/>
        <v>1000000</v>
      </c>
      <c r="D811" s="11">
        <f t="shared" si="35"/>
        <v>30000</v>
      </c>
      <c r="E811" s="11"/>
      <c r="F811" s="11"/>
      <c r="G811" s="11"/>
      <c r="H811" s="11"/>
      <c r="I811" s="42">
        <f t="shared" si="36"/>
        <v>1000000</v>
      </c>
    </row>
    <row r="812" spans="1:9" x14ac:dyDescent="0.3">
      <c r="A812" s="35">
        <v>27</v>
      </c>
      <c r="B812" s="36" t="str">
        <f t="shared" si="33"/>
        <v>Nurhadi</v>
      </c>
      <c r="C812" s="37">
        <f t="shared" si="34"/>
        <v>2000000</v>
      </c>
      <c r="D812" s="11">
        <f t="shared" si="35"/>
        <v>60000</v>
      </c>
      <c r="E812" s="11"/>
      <c r="F812" s="11"/>
      <c r="G812" s="11"/>
      <c r="H812" s="11"/>
      <c r="I812" s="42">
        <f t="shared" si="36"/>
        <v>2000000</v>
      </c>
    </row>
    <row r="813" spans="1:9" x14ac:dyDescent="0.3">
      <c r="A813" s="35">
        <v>28</v>
      </c>
      <c r="B813" s="36" t="str">
        <f t="shared" si="33"/>
        <v>Siti Nurmahmudah</v>
      </c>
      <c r="C813" s="37">
        <f t="shared" si="34"/>
        <v>7426300</v>
      </c>
      <c r="D813" s="11">
        <f t="shared" si="35"/>
        <v>222789</v>
      </c>
      <c r="E813" s="11"/>
      <c r="F813" s="11"/>
      <c r="G813" s="11"/>
      <c r="H813" s="11"/>
      <c r="I813" s="42">
        <f t="shared" si="36"/>
        <v>7426300</v>
      </c>
    </row>
    <row r="814" spans="1:9" x14ac:dyDescent="0.3">
      <c r="A814" s="35">
        <v>29</v>
      </c>
      <c r="B814" s="36" t="str">
        <f t="shared" si="33"/>
        <v>Saeman</v>
      </c>
      <c r="C814" s="37">
        <f t="shared" si="34"/>
        <v>10000000</v>
      </c>
      <c r="D814" s="11">
        <f t="shared" si="35"/>
        <v>300000</v>
      </c>
      <c r="E814" s="11"/>
      <c r="F814" s="11"/>
      <c r="G814" s="11"/>
      <c r="H814" s="11"/>
      <c r="I814" s="42">
        <f>C814-H814</f>
        <v>10000000</v>
      </c>
    </row>
    <row r="815" spans="1:9" x14ac:dyDescent="0.3">
      <c r="A815" s="35">
        <v>30</v>
      </c>
      <c r="B815" s="36" t="str">
        <f t="shared" si="33"/>
        <v>Sarto</v>
      </c>
      <c r="C815" s="37">
        <f t="shared" si="34"/>
        <v>2000000</v>
      </c>
      <c r="D815" s="11">
        <f t="shared" si="35"/>
        <v>60000</v>
      </c>
      <c r="E815" s="11"/>
      <c r="F815" s="11"/>
      <c r="G815" s="11"/>
      <c r="H815" s="11"/>
      <c r="I815" s="42">
        <f t="shared" si="36"/>
        <v>2000000</v>
      </c>
    </row>
    <row r="816" spans="1:9" x14ac:dyDescent="0.3">
      <c r="A816" s="35">
        <v>31</v>
      </c>
      <c r="B816" s="36" t="str">
        <f t="shared" si="33"/>
        <v>Sholik 9</v>
      </c>
      <c r="C816" s="37">
        <f t="shared" si="34"/>
        <v>23284020</v>
      </c>
      <c r="D816" s="11">
        <f t="shared" si="35"/>
        <v>698520.6</v>
      </c>
      <c r="E816" s="11"/>
      <c r="F816" s="11"/>
      <c r="G816" s="11">
        <v>698521</v>
      </c>
      <c r="H816" s="11"/>
      <c r="I816" s="42">
        <f t="shared" si="36"/>
        <v>23982541</v>
      </c>
    </row>
    <row r="817" spans="1:9" x14ac:dyDescent="0.3">
      <c r="A817" s="35">
        <v>32</v>
      </c>
      <c r="B817" s="36" t="str">
        <f t="shared" si="33"/>
        <v>Siono</v>
      </c>
      <c r="C817" s="37">
        <f t="shared" si="34"/>
        <v>6753053</v>
      </c>
      <c r="D817" s="11">
        <f t="shared" si="35"/>
        <v>202591.59</v>
      </c>
      <c r="E817" s="11"/>
      <c r="F817" s="11"/>
      <c r="G817" s="11">
        <v>202592</v>
      </c>
      <c r="H817" s="11"/>
      <c r="I817" s="42">
        <f t="shared" si="36"/>
        <v>6955645</v>
      </c>
    </row>
    <row r="818" spans="1:9" x14ac:dyDescent="0.3">
      <c r="A818" s="35">
        <v>33</v>
      </c>
      <c r="B818" s="36" t="str">
        <f t="shared" si="33"/>
        <v>Sumadi</v>
      </c>
      <c r="C818" s="37">
        <f t="shared" si="34"/>
        <v>9500000</v>
      </c>
      <c r="D818" s="11">
        <f t="shared" si="35"/>
        <v>285000</v>
      </c>
      <c r="E818" s="11"/>
      <c r="F818" s="11"/>
      <c r="G818" s="11"/>
      <c r="H818" s="11"/>
      <c r="I818" s="42">
        <f t="shared" si="36"/>
        <v>9500000</v>
      </c>
    </row>
    <row r="819" spans="1:9" x14ac:dyDescent="0.3">
      <c r="A819" s="35">
        <v>34</v>
      </c>
      <c r="B819" s="36" t="str">
        <f t="shared" si="33"/>
        <v>Sumar</v>
      </c>
      <c r="C819" s="37">
        <f t="shared" si="34"/>
        <v>5500000</v>
      </c>
      <c r="D819" s="11">
        <f t="shared" si="35"/>
        <v>165000</v>
      </c>
      <c r="E819" s="11"/>
      <c r="F819" s="11"/>
      <c r="G819" s="11"/>
      <c r="H819" s="11"/>
      <c r="I819" s="42">
        <f t="shared" si="36"/>
        <v>5500000</v>
      </c>
    </row>
    <row r="820" spans="1:9" x14ac:dyDescent="0.3">
      <c r="A820" s="35">
        <v>35</v>
      </c>
      <c r="B820" s="36" t="str">
        <f t="shared" si="33"/>
        <v>Sunamah</v>
      </c>
      <c r="C820" s="37">
        <f t="shared" si="34"/>
        <v>14500000</v>
      </c>
      <c r="D820" s="11">
        <f t="shared" si="35"/>
        <v>435000</v>
      </c>
      <c r="E820" s="11"/>
      <c r="F820" s="11"/>
      <c r="G820" s="11"/>
      <c r="H820" s="11"/>
      <c r="I820" s="42">
        <f t="shared" si="36"/>
        <v>14500000</v>
      </c>
    </row>
    <row r="821" spans="1:9" x14ac:dyDescent="0.3">
      <c r="A821" s="35">
        <v>36</v>
      </c>
      <c r="B821" s="36" t="str">
        <f t="shared" si="33"/>
        <v>Supiani</v>
      </c>
      <c r="C821" s="37">
        <f t="shared" si="34"/>
        <v>2500000</v>
      </c>
      <c r="D821" s="11">
        <f t="shared" si="35"/>
        <v>75000</v>
      </c>
      <c r="E821" s="11"/>
      <c r="F821" s="11"/>
      <c r="G821" s="11"/>
      <c r="H821" s="11"/>
      <c r="I821" s="42">
        <f t="shared" si="36"/>
        <v>2500000</v>
      </c>
    </row>
    <row r="822" spans="1:9" x14ac:dyDescent="0.3">
      <c r="A822" s="35">
        <v>37</v>
      </c>
      <c r="B822" s="36" t="str">
        <f t="shared" si="33"/>
        <v>Supriaji</v>
      </c>
      <c r="C822" s="37">
        <f t="shared" si="34"/>
        <v>12000000</v>
      </c>
      <c r="D822" s="11">
        <f t="shared" si="35"/>
        <v>360000</v>
      </c>
      <c r="E822" s="11"/>
      <c r="F822" s="11"/>
      <c r="G822" s="11"/>
      <c r="H822" s="11"/>
      <c r="I822" s="42">
        <f t="shared" si="36"/>
        <v>12000000</v>
      </c>
    </row>
    <row r="823" spans="1:9" x14ac:dyDescent="0.3">
      <c r="A823" s="35">
        <v>38</v>
      </c>
      <c r="B823" s="36" t="str">
        <f t="shared" si="33"/>
        <v>Suwanan/Iksan</v>
      </c>
      <c r="C823" s="37">
        <f t="shared" si="34"/>
        <v>6000000</v>
      </c>
      <c r="D823" s="11">
        <f t="shared" si="35"/>
        <v>180000</v>
      </c>
      <c r="E823" s="11"/>
      <c r="F823" s="11"/>
      <c r="G823" s="11">
        <v>1000000</v>
      </c>
      <c r="H823" s="11"/>
      <c r="I823" s="42">
        <f>C823+E823-F823+G823-H823</f>
        <v>7000000</v>
      </c>
    </row>
    <row r="824" spans="1:9" x14ac:dyDescent="0.3">
      <c r="A824" s="35">
        <v>39</v>
      </c>
      <c r="B824" s="36" t="str">
        <f t="shared" si="33"/>
        <v>Suwari</v>
      </c>
      <c r="C824" s="37">
        <f t="shared" si="34"/>
        <v>1000000</v>
      </c>
      <c r="D824" s="11">
        <f t="shared" si="35"/>
        <v>30000</v>
      </c>
      <c r="E824" s="11"/>
      <c r="F824" s="11"/>
      <c r="G824" s="11"/>
      <c r="H824" s="11"/>
      <c r="I824" s="42">
        <f t="shared" ref="I824:I848" si="37">C824+E824-F824+G824-H824</f>
        <v>1000000</v>
      </c>
    </row>
    <row r="825" spans="1:9" x14ac:dyDescent="0.3">
      <c r="A825" s="35">
        <v>40</v>
      </c>
      <c r="B825" s="36" t="str">
        <f t="shared" si="33"/>
        <v>Suyono 2</v>
      </c>
      <c r="C825" s="37">
        <f t="shared" si="34"/>
        <v>8500000</v>
      </c>
      <c r="D825" s="11">
        <f t="shared" si="35"/>
        <v>255000</v>
      </c>
      <c r="E825" s="11"/>
      <c r="F825" s="11"/>
      <c r="G825" s="11"/>
      <c r="H825" s="11"/>
      <c r="I825" s="42">
        <f t="shared" si="37"/>
        <v>8500000</v>
      </c>
    </row>
    <row r="826" spans="1:9" x14ac:dyDescent="0.3">
      <c r="A826" s="35">
        <v>41</v>
      </c>
      <c r="B826" s="36" t="str">
        <f t="shared" si="33"/>
        <v>Tisno</v>
      </c>
      <c r="C826" s="37">
        <f t="shared" si="34"/>
        <v>2000000</v>
      </c>
      <c r="D826" s="11">
        <f t="shared" si="35"/>
        <v>60000</v>
      </c>
      <c r="E826" s="11"/>
      <c r="F826" s="11"/>
      <c r="G826" s="11"/>
      <c r="H826" s="11"/>
      <c r="I826" s="42">
        <f t="shared" si="37"/>
        <v>2000000</v>
      </c>
    </row>
    <row r="827" spans="1:9" x14ac:dyDescent="0.3">
      <c r="A827" s="35">
        <v>42</v>
      </c>
      <c r="B827" s="36" t="str">
        <f t="shared" si="33"/>
        <v>Umi Kulsum</v>
      </c>
      <c r="C827" s="37">
        <f t="shared" si="34"/>
        <v>4000000</v>
      </c>
      <c r="D827" s="11">
        <f t="shared" si="35"/>
        <v>120000</v>
      </c>
      <c r="E827" s="38"/>
      <c r="F827" s="38"/>
      <c r="G827" s="38"/>
      <c r="H827" s="11"/>
      <c r="I827" s="42">
        <f t="shared" si="37"/>
        <v>4000000</v>
      </c>
    </row>
    <row r="828" spans="1:9" x14ac:dyDescent="0.3">
      <c r="A828" s="35">
        <v>43</v>
      </c>
      <c r="B828" s="36" t="str">
        <f t="shared" si="33"/>
        <v>Rofiq</v>
      </c>
      <c r="C828" s="37">
        <f t="shared" si="34"/>
        <v>4000000</v>
      </c>
      <c r="D828" s="11">
        <f t="shared" si="35"/>
        <v>120000</v>
      </c>
      <c r="E828" s="38"/>
      <c r="F828" s="38"/>
      <c r="G828" s="38">
        <v>2000000</v>
      </c>
      <c r="H828" s="11"/>
      <c r="I828" s="42">
        <f t="shared" si="37"/>
        <v>6000000</v>
      </c>
    </row>
    <row r="829" spans="1:9" x14ac:dyDescent="0.3">
      <c r="A829" s="35">
        <v>44</v>
      </c>
      <c r="B829" s="36" t="str">
        <f t="shared" si="33"/>
        <v>Zumaroh</v>
      </c>
      <c r="C829" s="37">
        <f t="shared" si="34"/>
        <v>3000000</v>
      </c>
      <c r="D829" s="11">
        <f t="shared" si="35"/>
        <v>90000</v>
      </c>
      <c r="E829" s="38"/>
      <c r="F829" s="38"/>
      <c r="G829" s="38"/>
      <c r="H829" s="11"/>
      <c r="I829" s="42">
        <f t="shared" si="37"/>
        <v>3000000</v>
      </c>
    </row>
    <row r="830" spans="1:9" x14ac:dyDescent="0.3">
      <c r="A830" s="35">
        <v>45</v>
      </c>
      <c r="B830" s="36" t="str">
        <f t="shared" si="33"/>
        <v>Ning Husniah</v>
      </c>
      <c r="C830" s="37">
        <f t="shared" si="34"/>
        <v>1000000</v>
      </c>
      <c r="D830" s="11">
        <f t="shared" si="35"/>
        <v>30000</v>
      </c>
      <c r="E830" s="11"/>
      <c r="F830" s="11"/>
      <c r="G830" s="11"/>
      <c r="H830" s="11"/>
      <c r="I830" s="42">
        <f t="shared" si="37"/>
        <v>1000000</v>
      </c>
    </row>
    <row r="831" spans="1:9" x14ac:dyDescent="0.3">
      <c r="A831" s="39">
        <v>46</v>
      </c>
      <c r="B831" s="36" t="str">
        <f t="shared" si="33"/>
        <v>Lu'luur R</v>
      </c>
      <c r="C831" s="37">
        <f t="shared" si="34"/>
        <v>7000000</v>
      </c>
      <c r="D831" s="11">
        <f t="shared" si="35"/>
        <v>210000</v>
      </c>
      <c r="E831" s="41"/>
      <c r="F831" s="41"/>
      <c r="G831" s="41"/>
      <c r="H831" s="40"/>
      <c r="I831" s="42">
        <f t="shared" si="37"/>
        <v>7000000</v>
      </c>
    </row>
    <row r="832" spans="1:9" x14ac:dyDescent="0.3">
      <c r="A832" s="35">
        <v>47</v>
      </c>
      <c r="B832" s="36" t="str">
        <f t="shared" si="33"/>
        <v>Umar</v>
      </c>
      <c r="C832" s="37">
        <f t="shared" si="34"/>
        <v>2500000</v>
      </c>
      <c r="D832" s="11">
        <f t="shared" si="35"/>
        <v>75000</v>
      </c>
      <c r="E832" s="38"/>
      <c r="F832" s="38"/>
      <c r="G832" s="38"/>
      <c r="H832" s="11"/>
      <c r="I832" s="42">
        <f t="shared" si="37"/>
        <v>2500000</v>
      </c>
    </row>
    <row r="833" spans="1:9" x14ac:dyDescent="0.3">
      <c r="A833" s="35">
        <v>48</v>
      </c>
      <c r="B833" s="36" t="str">
        <f t="shared" si="33"/>
        <v>Ana/Bu Khoiri</v>
      </c>
      <c r="C833" s="37">
        <f t="shared" si="34"/>
        <v>1030000</v>
      </c>
      <c r="D833" s="11">
        <f t="shared" si="35"/>
        <v>30900</v>
      </c>
      <c r="E833" s="11"/>
      <c r="F833" s="11"/>
      <c r="G833" s="11"/>
      <c r="H833" s="11"/>
      <c r="I833" s="42">
        <f t="shared" si="37"/>
        <v>1030000</v>
      </c>
    </row>
    <row r="834" spans="1:9" x14ac:dyDescent="0.3">
      <c r="A834" s="35">
        <v>49</v>
      </c>
      <c r="B834" s="36" t="str">
        <f t="shared" si="33"/>
        <v>Anik Mahsunah W</v>
      </c>
      <c r="C834" s="37">
        <f t="shared" si="34"/>
        <v>2000000</v>
      </c>
      <c r="D834" s="11">
        <f t="shared" si="35"/>
        <v>60000</v>
      </c>
      <c r="E834" s="11"/>
      <c r="F834" s="11"/>
      <c r="G834" s="11"/>
      <c r="H834" s="11"/>
      <c r="I834" s="42">
        <f t="shared" si="37"/>
        <v>2000000</v>
      </c>
    </row>
    <row r="835" spans="1:9" x14ac:dyDescent="0.3">
      <c r="A835" s="35">
        <v>50</v>
      </c>
      <c r="B835" s="36" t="str">
        <f t="shared" si="33"/>
        <v>Fajrul Ummah</v>
      </c>
      <c r="C835" s="37">
        <f t="shared" si="34"/>
        <v>19128023</v>
      </c>
      <c r="D835" s="11">
        <f t="shared" si="35"/>
        <v>573840.68999999994</v>
      </c>
      <c r="E835" s="11"/>
      <c r="F835" s="11"/>
      <c r="G835" s="11"/>
      <c r="H835" s="11"/>
      <c r="I835" s="42">
        <f t="shared" si="37"/>
        <v>19128023</v>
      </c>
    </row>
    <row r="836" spans="1:9" x14ac:dyDescent="0.3">
      <c r="A836" s="35">
        <v>51</v>
      </c>
      <c r="B836" s="36" t="str">
        <f t="shared" si="33"/>
        <v>Imam Masrodin</v>
      </c>
      <c r="C836" s="37">
        <f t="shared" si="34"/>
        <v>500000</v>
      </c>
      <c r="D836" s="11">
        <f t="shared" si="35"/>
        <v>15000</v>
      </c>
      <c r="E836" s="11"/>
      <c r="F836" s="11"/>
      <c r="G836" s="11"/>
      <c r="H836" s="11"/>
      <c r="I836" s="42">
        <f t="shared" si="37"/>
        <v>500000</v>
      </c>
    </row>
    <row r="837" spans="1:9" x14ac:dyDescent="0.3">
      <c r="A837" s="35">
        <v>52</v>
      </c>
      <c r="B837" s="36" t="str">
        <f t="shared" si="33"/>
        <v>Muayanah</v>
      </c>
      <c r="C837" s="37">
        <f t="shared" si="34"/>
        <v>11300000</v>
      </c>
      <c r="D837" s="11">
        <f t="shared" si="35"/>
        <v>339000</v>
      </c>
      <c r="E837" s="38"/>
      <c r="F837" s="38"/>
      <c r="G837" s="38">
        <v>1000000</v>
      </c>
      <c r="H837" s="11"/>
      <c r="I837" s="42">
        <f t="shared" si="37"/>
        <v>12300000</v>
      </c>
    </row>
    <row r="838" spans="1:9" x14ac:dyDescent="0.3">
      <c r="A838" s="35">
        <v>53</v>
      </c>
      <c r="B838" s="36" t="str">
        <f t="shared" si="33"/>
        <v>Siswanto</v>
      </c>
      <c r="C838" s="37">
        <f t="shared" si="34"/>
        <v>3000000</v>
      </c>
      <c r="D838" s="11">
        <f t="shared" si="35"/>
        <v>90000</v>
      </c>
      <c r="E838" s="38"/>
      <c r="F838" s="38"/>
      <c r="G838" s="38"/>
      <c r="H838" s="11"/>
      <c r="I838" s="42">
        <f t="shared" si="37"/>
        <v>3000000</v>
      </c>
    </row>
    <row r="839" spans="1:9" x14ac:dyDescent="0.3">
      <c r="A839" s="35">
        <v>54</v>
      </c>
      <c r="B839" s="36" t="str">
        <f t="shared" si="33"/>
        <v>Bin Asiyah</v>
      </c>
      <c r="C839" s="37">
        <f t="shared" si="34"/>
        <v>6000000</v>
      </c>
      <c r="D839" s="11">
        <f t="shared" si="35"/>
        <v>180000</v>
      </c>
      <c r="E839" s="38"/>
      <c r="F839" s="38"/>
      <c r="G839" s="38"/>
      <c r="H839" s="11"/>
      <c r="I839" s="42">
        <f t="shared" si="37"/>
        <v>6000000</v>
      </c>
    </row>
    <row r="840" spans="1:9" x14ac:dyDescent="0.3">
      <c r="A840" s="35">
        <v>55</v>
      </c>
      <c r="B840" s="36" t="str">
        <f t="shared" si="33"/>
        <v>Tayem</v>
      </c>
      <c r="C840" s="37">
        <f t="shared" si="34"/>
        <v>14500000</v>
      </c>
      <c r="D840" s="11">
        <f t="shared" si="35"/>
        <v>435000</v>
      </c>
      <c r="E840" s="38"/>
      <c r="F840" s="38"/>
      <c r="G840" s="38"/>
      <c r="H840" s="11"/>
      <c r="I840" s="42">
        <f t="shared" si="37"/>
        <v>14500000</v>
      </c>
    </row>
    <row r="841" spans="1:9" x14ac:dyDescent="0.3">
      <c r="A841" s="35">
        <v>56</v>
      </c>
      <c r="B841" s="36" t="str">
        <f t="shared" si="33"/>
        <v>Sholahuddin Afif</v>
      </c>
      <c r="C841" s="37">
        <f t="shared" si="34"/>
        <v>15000000</v>
      </c>
      <c r="D841" s="11">
        <f t="shared" si="35"/>
        <v>450000</v>
      </c>
      <c r="E841" s="38"/>
      <c r="F841" s="38"/>
      <c r="G841" s="38">
        <v>2000000</v>
      </c>
      <c r="H841" s="11"/>
      <c r="I841" s="42">
        <f t="shared" si="37"/>
        <v>17000000</v>
      </c>
    </row>
    <row r="842" spans="1:9" x14ac:dyDescent="0.3">
      <c r="A842" s="35">
        <v>57</v>
      </c>
      <c r="B842" s="36" t="str">
        <f t="shared" si="33"/>
        <v>Masithah</v>
      </c>
      <c r="C842" s="37">
        <f t="shared" si="34"/>
        <v>1000000</v>
      </c>
      <c r="D842" s="11">
        <f t="shared" si="35"/>
        <v>30000</v>
      </c>
      <c r="E842" s="38"/>
      <c r="F842" s="38"/>
      <c r="G842" s="38"/>
      <c r="H842" s="11"/>
      <c r="I842" s="42">
        <f t="shared" si="37"/>
        <v>1000000</v>
      </c>
    </row>
    <row r="843" spans="1:9" x14ac:dyDescent="0.3">
      <c r="A843" s="35">
        <v>58</v>
      </c>
      <c r="B843" s="36" t="str">
        <f t="shared" si="33"/>
        <v>Rikayati</v>
      </c>
      <c r="C843" s="37">
        <f t="shared" si="34"/>
        <v>2000000</v>
      </c>
      <c r="D843" s="11">
        <f t="shared" si="35"/>
        <v>60000</v>
      </c>
      <c r="E843" s="11"/>
      <c r="F843" s="11"/>
      <c r="G843" s="11"/>
      <c r="H843" s="11"/>
      <c r="I843" s="42">
        <f t="shared" si="37"/>
        <v>2000000</v>
      </c>
    </row>
    <row r="844" spans="1:9" x14ac:dyDescent="0.3">
      <c r="A844" s="35">
        <v>59</v>
      </c>
      <c r="B844" s="36" t="str">
        <f t="shared" si="33"/>
        <v>Misbahuddin</v>
      </c>
      <c r="C844" s="37">
        <f t="shared" si="34"/>
        <v>3000000</v>
      </c>
      <c r="D844" s="11">
        <f t="shared" si="35"/>
        <v>90000</v>
      </c>
      <c r="E844" s="11"/>
      <c r="F844" s="11"/>
      <c r="G844" s="11"/>
      <c r="H844" s="11"/>
      <c r="I844" s="42">
        <f t="shared" si="37"/>
        <v>3000000</v>
      </c>
    </row>
    <row r="845" spans="1:9" x14ac:dyDescent="0.3">
      <c r="A845" s="35">
        <v>60</v>
      </c>
      <c r="B845" s="36" t="str">
        <f t="shared" si="33"/>
        <v>Munisah</v>
      </c>
      <c r="C845" s="37">
        <f t="shared" si="34"/>
        <v>1500000</v>
      </c>
      <c r="D845" s="11">
        <f t="shared" si="35"/>
        <v>45000</v>
      </c>
      <c r="E845" s="11"/>
      <c r="F845" s="11"/>
      <c r="G845" s="11"/>
      <c r="H845" s="11"/>
      <c r="I845" s="42">
        <f t="shared" si="37"/>
        <v>1500000</v>
      </c>
    </row>
    <row r="846" spans="1:9" x14ac:dyDescent="0.3">
      <c r="A846" s="35">
        <v>61</v>
      </c>
      <c r="B846" s="36">
        <f t="shared" si="33"/>
        <v>0</v>
      </c>
      <c r="C846" s="37">
        <f t="shared" si="34"/>
        <v>0</v>
      </c>
      <c r="D846" s="11">
        <f t="shared" si="35"/>
        <v>0</v>
      </c>
      <c r="E846" s="11"/>
      <c r="F846" s="11"/>
      <c r="G846" s="11"/>
      <c r="H846" s="11"/>
      <c r="I846" s="42">
        <f t="shared" si="37"/>
        <v>0</v>
      </c>
    </row>
    <row r="847" spans="1:9" x14ac:dyDescent="0.3">
      <c r="A847" s="35">
        <v>62</v>
      </c>
      <c r="B847" s="36">
        <f t="shared" si="33"/>
        <v>0</v>
      </c>
      <c r="C847" s="37">
        <f t="shared" si="34"/>
        <v>0</v>
      </c>
      <c r="D847" s="11">
        <f t="shared" si="35"/>
        <v>0</v>
      </c>
      <c r="E847" s="38"/>
      <c r="F847" s="11"/>
      <c r="G847" s="11"/>
      <c r="H847" s="11"/>
      <c r="I847" s="42">
        <f t="shared" si="37"/>
        <v>0</v>
      </c>
    </row>
    <row r="848" spans="1:9" x14ac:dyDescent="0.3">
      <c r="A848" s="35">
        <v>63</v>
      </c>
      <c r="B848" s="36">
        <f t="shared" si="33"/>
        <v>0</v>
      </c>
      <c r="C848" s="37">
        <f t="shared" si="34"/>
        <v>0</v>
      </c>
      <c r="D848" s="11">
        <f t="shared" si="35"/>
        <v>0</v>
      </c>
      <c r="E848" s="38"/>
      <c r="F848" s="43"/>
      <c r="G848" s="11"/>
      <c r="H848" s="11"/>
      <c r="I848" s="42">
        <f t="shared" si="37"/>
        <v>0</v>
      </c>
    </row>
    <row r="849" spans="1:9" ht="17.25" thickBot="1" x14ac:dyDescent="0.35">
      <c r="A849" s="44" t="s">
        <v>13</v>
      </c>
      <c r="B849" s="45"/>
      <c r="C849" s="46">
        <f>SUM(C786:C848)</f>
        <v>329280396</v>
      </c>
      <c r="D849" s="47">
        <f>SUM(D786:D848)</f>
        <v>9878411.879999999</v>
      </c>
      <c r="E849" s="15">
        <f>SUM(E786:E848)</f>
        <v>0</v>
      </c>
      <c r="F849" s="15">
        <f>SUM(F786:F848)</f>
        <v>0</v>
      </c>
      <c r="G849" s="16">
        <f>SUM(G787:G848)</f>
        <v>9101113</v>
      </c>
      <c r="H849" s="16">
        <f>SUM(H786:H848)</f>
        <v>0</v>
      </c>
      <c r="I849" s="48">
        <f>SUM(I786:I848)</f>
        <v>338381509</v>
      </c>
    </row>
    <row r="850" spans="1:9" x14ac:dyDescent="0.3">
      <c r="C850" s="49"/>
      <c r="D850" s="50"/>
      <c r="E850" s="50"/>
      <c r="F850" s="50"/>
      <c r="I850" s="19"/>
    </row>
    <row r="851" spans="1:9" x14ac:dyDescent="0.3">
      <c r="H851" s="2" t="s">
        <v>30</v>
      </c>
    </row>
    <row r="855" spans="1:9" s="3" customFormat="1" x14ac:dyDescent="0.3">
      <c r="A855" s="2"/>
      <c r="B855" s="2"/>
      <c r="C855" s="2"/>
      <c r="D855" s="2"/>
      <c r="E855" s="2"/>
      <c r="F855" s="2"/>
      <c r="G855" s="2"/>
      <c r="H855" s="51" t="s">
        <v>15</v>
      </c>
    </row>
    <row r="894" spans="1:9" ht="20.25" x14ac:dyDescent="0.3">
      <c r="A894" s="52" t="s">
        <v>31</v>
      </c>
      <c r="B894" s="52"/>
      <c r="C894" s="52"/>
      <c r="D894" s="52"/>
      <c r="E894" s="52"/>
      <c r="F894" s="52"/>
      <c r="G894" s="52"/>
      <c r="H894" s="52"/>
      <c r="I894" s="52"/>
    </row>
    <row r="896" spans="1:9" ht="49.5" x14ac:dyDescent="0.3">
      <c r="A896" s="53" t="s">
        <v>1</v>
      </c>
      <c r="B896" s="53" t="s">
        <v>2</v>
      </c>
      <c r="C896" s="53" t="s">
        <v>3</v>
      </c>
      <c r="D896" s="55" t="s">
        <v>4</v>
      </c>
      <c r="E896" s="55" t="s">
        <v>5</v>
      </c>
      <c r="F896" s="55" t="s">
        <v>6</v>
      </c>
      <c r="G896" s="55" t="s">
        <v>7</v>
      </c>
      <c r="H896" s="55" t="s">
        <v>8</v>
      </c>
      <c r="I896" s="5" t="s">
        <v>17</v>
      </c>
    </row>
    <row r="897" spans="1:9" x14ac:dyDescent="0.3">
      <c r="A897" s="56"/>
      <c r="B897" s="56"/>
      <c r="C897" s="56"/>
      <c r="D897" s="58">
        <v>46206</v>
      </c>
      <c r="E897" s="58">
        <f>D897</f>
        <v>46206</v>
      </c>
      <c r="F897" s="58">
        <f>E897</f>
        <v>46206</v>
      </c>
      <c r="G897" s="58">
        <f>F897</f>
        <v>46206</v>
      </c>
      <c r="H897" s="58">
        <f>G897</f>
        <v>46206</v>
      </c>
      <c r="I897" s="58">
        <f>H897</f>
        <v>46206</v>
      </c>
    </row>
    <row r="898" spans="1:9" x14ac:dyDescent="0.3">
      <c r="A898" s="35">
        <v>1</v>
      </c>
      <c r="B898" s="36" t="s">
        <v>32</v>
      </c>
      <c r="C898" s="37">
        <f>I786</f>
        <v>13500000</v>
      </c>
      <c r="D898" s="11">
        <f>C898*3%</f>
        <v>405000</v>
      </c>
      <c r="E898" s="11"/>
      <c r="F898" s="11"/>
      <c r="G898" s="11"/>
      <c r="H898" s="3"/>
      <c r="I898" s="42">
        <f>C898+E898-F898+G898-H898</f>
        <v>13500000</v>
      </c>
    </row>
    <row r="899" spans="1:9" x14ac:dyDescent="0.3">
      <c r="A899" s="35">
        <v>2</v>
      </c>
      <c r="B899" s="36" t="s">
        <v>33</v>
      </c>
      <c r="C899" s="37">
        <f t="shared" ref="C899:C959" si="38">I787</f>
        <v>5000000</v>
      </c>
      <c r="D899" s="11">
        <f t="shared" ref="D899:D959" si="39">C899*3%</f>
        <v>150000</v>
      </c>
      <c r="E899" s="11"/>
      <c r="F899" s="11"/>
      <c r="G899" s="11"/>
      <c r="H899" s="11"/>
      <c r="I899" s="42">
        <f t="shared" ref="I899:I934" si="40">C899+E899-F899+G899-H899</f>
        <v>5000000</v>
      </c>
    </row>
    <row r="900" spans="1:9" x14ac:dyDescent="0.3">
      <c r="A900" s="35">
        <v>3</v>
      </c>
      <c r="B900" s="36" t="s">
        <v>34</v>
      </c>
      <c r="C900" s="37">
        <f t="shared" si="38"/>
        <v>10000000</v>
      </c>
      <c r="D900" s="11">
        <f t="shared" si="39"/>
        <v>300000</v>
      </c>
      <c r="E900" s="11"/>
      <c r="F900" s="11"/>
      <c r="G900" s="11"/>
      <c r="H900" s="11"/>
      <c r="I900" s="42">
        <f t="shared" si="40"/>
        <v>10000000</v>
      </c>
    </row>
    <row r="901" spans="1:9" x14ac:dyDescent="0.3">
      <c r="A901" s="35">
        <v>4</v>
      </c>
      <c r="B901" s="36" t="s">
        <v>35</v>
      </c>
      <c r="C901" s="37">
        <f t="shared" si="38"/>
        <v>7800000</v>
      </c>
      <c r="D901" s="11">
        <f t="shared" si="39"/>
        <v>234000</v>
      </c>
      <c r="E901" s="11"/>
      <c r="F901" s="11"/>
      <c r="G901" s="11"/>
      <c r="H901" s="11"/>
      <c r="I901" s="42">
        <f t="shared" si="40"/>
        <v>7800000</v>
      </c>
    </row>
    <row r="902" spans="1:9" x14ac:dyDescent="0.3">
      <c r="A902" s="35">
        <v>5</v>
      </c>
      <c r="B902" s="36" t="s">
        <v>36</v>
      </c>
      <c r="C902" s="37">
        <f t="shared" si="38"/>
        <v>5300000</v>
      </c>
      <c r="D902" s="11">
        <f t="shared" si="39"/>
        <v>159000</v>
      </c>
      <c r="E902" s="11"/>
      <c r="F902" s="11"/>
      <c r="G902" s="11"/>
      <c r="H902" s="11"/>
      <c r="I902" s="42">
        <f t="shared" si="40"/>
        <v>5300000</v>
      </c>
    </row>
    <row r="903" spans="1:9" x14ac:dyDescent="0.3">
      <c r="A903" s="35">
        <v>6</v>
      </c>
      <c r="B903" s="36" t="s">
        <v>37</v>
      </c>
      <c r="C903" s="37">
        <f t="shared" si="38"/>
        <v>4000000</v>
      </c>
      <c r="D903" s="11">
        <f t="shared" si="39"/>
        <v>120000</v>
      </c>
      <c r="E903" s="11"/>
      <c r="F903" s="11"/>
      <c r="G903" s="11"/>
      <c r="H903" s="11"/>
      <c r="I903" s="42">
        <f t="shared" si="40"/>
        <v>4000000</v>
      </c>
    </row>
    <row r="904" spans="1:9" x14ac:dyDescent="0.3">
      <c r="A904" s="35">
        <v>7</v>
      </c>
      <c r="B904" s="36" t="s">
        <v>38</v>
      </c>
      <c r="C904" s="37">
        <f t="shared" si="38"/>
        <v>4240000</v>
      </c>
      <c r="D904" s="11">
        <f t="shared" si="39"/>
        <v>127200</v>
      </c>
      <c r="E904" s="11"/>
      <c r="F904" s="11"/>
      <c r="G904" s="11"/>
      <c r="H904" s="11"/>
      <c r="I904" s="42">
        <f t="shared" si="40"/>
        <v>4240000</v>
      </c>
    </row>
    <row r="905" spans="1:9" x14ac:dyDescent="0.3">
      <c r="A905" s="35">
        <v>8</v>
      </c>
      <c r="B905" s="36" t="s">
        <v>39</v>
      </c>
      <c r="C905" s="37">
        <f t="shared" si="38"/>
        <v>2000000</v>
      </c>
      <c r="D905" s="11">
        <f t="shared" si="39"/>
        <v>60000</v>
      </c>
      <c r="E905" s="11"/>
      <c r="F905" s="11"/>
      <c r="G905" s="11"/>
      <c r="H905" s="11"/>
      <c r="I905" s="42">
        <f t="shared" si="40"/>
        <v>2000000</v>
      </c>
    </row>
    <row r="906" spans="1:9" x14ac:dyDescent="0.3">
      <c r="A906" s="35">
        <v>9</v>
      </c>
      <c r="B906" s="36" t="s">
        <v>40</v>
      </c>
      <c r="C906" s="37">
        <f t="shared" si="38"/>
        <v>1000000</v>
      </c>
      <c r="D906" s="11">
        <f t="shared" si="39"/>
        <v>30000</v>
      </c>
      <c r="E906" s="11"/>
      <c r="F906" s="11"/>
      <c r="G906" s="11"/>
      <c r="H906" s="11"/>
      <c r="I906" s="42">
        <f t="shared" si="40"/>
        <v>1000000</v>
      </c>
    </row>
    <row r="907" spans="1:9" x14ac:dyDescent="0.3">
      <c r="A907" s="35">
        <v>10</v>
      </c>
      <c r="B907" s="36" t="s">
        <v>41</v>
      </c>
      <c r="C907" s="37">
        <f t="shared" si="38"/>
        <v>2000000</v>
      </c>
      <c r="D907" s="11">
        <f t="shared" si="39"/>
        <v>60000</v>
      </c>
      <c r="E907" s="11"/>
      <c r="F907" s="11"/>
      <c r="G907" s="3"/>
      <c r="H907" s="11"/>
      <c r="I907" s="42">
        <f t="shared" si="40"/>
        <v>2000000</v>
      </c>
    </row>
    <row r="908" spans="1:9" x14ac:dyDescent="0.3">
      <c r="A908" s="35">
        <v>11</v>
      </c>
      <c r="B908" s="36" t="s">
        <v>42</v>
      </c>
      <c r="C908" s="37">
        <f t="shared" si="38"/>
        <v>3599000</v>
      </c>
      <c r="D908" s="11">
        <f t="shared" si="39"/>
        <v>107970</v>
      </c>
      <c r="E908" s="11"/>
      <c r="F908" s="11"/>
      <c r="G908" s="11"/>
      <c r="H908" s="11"/>
      <c r="I908" s="42">
        <f t="shared" si="40"/>
        <v>3599000</v>
      </c>
    </row>
    <row r="909" spans="1:9" x14ac:dyDescent="0.3">
      <c r="A909" s="35">
        <v>12</v>
      </c>
      <c r="B909" s="36" t="s">
        <v>43</v>
      </c>
      <c r="C909" s="37">
        <f t="shared" si="38"/>
        <v>3000000</v>
      </c>
      <c r="D909" s="11">
        <f t="shared" si="39"/>
        <v>90000</v>
      </c>
      <c r="E909" s="11"/>
      <c r="F909" s="11"/>
      <c r="G909" s="11"/>
      <c r="H909" s="11"/>
      <c r="I909" s="42">
        <f t="shared" si="40"/>
        <v>3000000</v>
      </c>
    </row>
    <row r="910" spans="1:9" x14ac:dyDescent="0.3">
      <c r="A910" s="35">
        <v>13</v>
      </c>
      <c r="B910" s="36" t="s">
        <v>44</v>
      </c>
      <c r="C910" s="37">
        <f t="shared" si="38"/>
        <v>7100000</v>
      </c>
      <c r="D910" s="11">
        <f t="shared" si="39"/>
        <v>213000</v>
      </c>
      <c r="E910" s="11"/>
      <c r="F910" s="11"/>
      <c r="G910" s="11"/>
      <c r="H910" s="11"/>
      <c r="I910" s="42">
        <f t="shared" si="40"/>
        <v>7100000</v>
      </c>
    </row>
    <row r="911" spans="1:9" x14ac:dyDescent="0.3">
      <c r="A911" s="35">
        <v>14</v>
      </c>
      <c r="B911" s="36" t="s">
        <v>45</v>
      </c>
      <c r="C911" s="37">
        <f t="shared" si="38"/>
        <v>3000000</v>
      </c>
      <c r="D911" s="11">
        <f t="shared" si="39"/>
        <v>90000</v>
      </c>
      <c r="E911" s="11"/>
      <c r="F911" s="11"/>
      <c r="G911" s="11"/>
      <c r="H911" s="11"/>
      <c r="I911" s="42">
        <f t="shared" si="40"/>
        <v>3000000</v>
      </c>
    </row>
    <row r="912" spans="1:9" x14ac:dyDescent="0.3">
      <c r="A912" s="35">
        <v>15</v>
      </c>
      <c r="B912" s="36" t="s">
        <v>46</v>
      </c>
      <c r="C912" s="37">
        <f t="shared" si="38"/>
        <v>1500000</v>
      </c>
      <c r="D912" s="11">
        <f t="shared" si="39"/>
        <v>45000</v>
      </c>
      <c r="E912" s="11"/>
      <c r="F912" s="11"/>
      <c r="G912" s="11"/>
      <c r="H912" s="11"/>
      <c r="I912" s="42">
        <f t="shared" si="40"/>
        <v>1500000</v>
      </c>
    </row>
    <row r="913" spans="1:9" x14ac:dyDescent="0.3">
      <c r="A913" s="35">
        <v>16</v>
      </c>
      <c r="B913" s="36" t="s">
        <v>47</v>
      </c>
      <c r="C913" s="37">
        <f t="shared" si="38"/>
        <v>500000</v>
      </c>
      <c r="D913" s="11">
        <f t="shared" si="39"/>
        <v>15000</v>
      </c>
      <c r="E913" s="11"/>
      <c r="F913" s="11"/>
      <c r="G913" s="11"/>
      <c r="H913" s="11"/>
      <c r="I913" s="42">
        <f t="shared" si="40"/>
        <v>500000</v>
      </c>
    </row>
    <row r="914" spans="1:9" x14ac:dyDescent="0.3">
      <c r="A914" s="35">
        <v>17</v>
      </c>
      <c r="B914" s="36" t="s">
        <v>48</v>
      </c>
      <c r="C914" s="37">
        <f t="shared" si="38"/>
        <v>11000000</v>
      </c>
      <c r="D914" s="11">
        <f t="shared" si="39"/>
        <v>330000</v>
      </c>
      <c r="E914" s="11"/>
      <c r="F914" s="11"/>
      <c r="G914" s="11"/>
      <c r="H914" s="11"/>
      <c r="I914" s="42">
        <f t="shared" si="40"/>
        <v>11000000</v>
      </c>
    </row>
    <row r="915" spans="1:9" x14ac:dyDescent="0.3">
      <c r="A915" s="35">
        <v>18</v>
      </c>
      <c r="B915" s="36" t="s">
        <v>49</v>
      </c>
      <c r="C915" s="37">
        <f t="shared" si="38"/>
        <v>2000000</v>
      </c>
      <c r="D915" s="11">
        <f t="shared" si="39"/>
        <v>60000</v>
      </c>
      <c r="E915" s="11"/>
      <c r="F915" s="11"/>
      <c r="G915" s="11"/>
      <c r="H915" s="11"/>
      <c r="I915" s="42">
        <f t="shared" si="40"/>
        <v>2000000</v>
      </c>
    </row>
    <row r="916" spans="1:9" x14ac:dyDescent="0.3">
      <c r="A916" s="35">
        <v>19</v>
      </c>
      <c r="B916" s="36" t="s">
        <v>50</v>
      </c>
      <c r="C916" s="37">
        <f t="shared" si="38"/>
        <v>3900000</v>
      </c>
      <c r="D916" s="11">
        <f t="shared" si="39"/>
        <v>117000</v>
      </c>
      <c r="E916" s="11"/>
      <c r="F916" s="11"/>
      <c r="G916" s="11"/>
      <c r="H916" s="11"/>
      <c r="I916" s="42">
        <f t="shared" si="40"/>
        <v>3900000</v>
      </c>
    </row>
    <row r="917" spans="1:9" x14ac:dyDescent="0.3">
      <c r="A917" s="35">
        <v>20</v>
      </c>
      <c r="B917" s="36" t="s">
        <v>51</v>
      </c>
      <c r="C917" s="37">
        <f t="shared" si="38"/>
        <v>4000000</v>
      </c>
      <c r="D917" s="11">
        <f t="shared" si="39"/>
        <v>120000</v>
      </c>
      <c r="E917" s="11"/>
      <c r="F917" s="11"/>
      <c r="G917" s="11"/>
      <c r="H917" s="11"/>
      <c r="I917" s="42">
        <f t="shared" si="40"/>
        <v>4000000</v>
      </c>
    </row>
    <row r="918" spans="1:9" x14ac:dyDescent="0.3">
      <c r="A918" s="35">
        <v>21</v>
      </c>
      <c r="B918" s="36" t="s">
        <v>52</v>
      </c>
      <c r="C918" s="37">
        <f t="shared" si="38"/>
        <v>1000000</v>
      </c>
      <c r="D918" s="11">
        <f t="shared" si="39"/>
        <v>30000</v>
      </c>
      <c r="E918" s="11"/>
      <c r="F918" s="11"/>
      <c r="G918" s="11"/>
      <c r="H918" s="11"/>
      <c r="I918" s="42">
        <f t="shared" si="40"/>
        <v>1000000</v>
      </c>
    </row>
    <row r="919" spans="1:9" x14ac:dyDescent="0.3">
      <c r="A919" s="35">
        <v>22</v>
      </c>
      <c r="B919" s="36" t="s">
        <v>53</v>
      </c>
      <c r="C919" s="37">
        <f t="shared" si="38"/>
        <v>7500000</v>
      </c>
      <c r="D919" s="11">
        <f t="shared" si="39"/>
        <v>225000</v>
      </c>
      <c r="E919" s="11"/>
      <c r="F919" s="11"/>
      <c r="G919" s="11"/>
      <c r="H919" s="11"/>
      <c r="I919" s="42">
        <f t="shared" si="40"/>
        <v>7500000</v>
      </c>
    </row>
    <row r="920" spans="1:9" x14ac:dyDescent="0.3">
      <c r="A920" s="35">
        <v>23</v>
      </c>
      <c r="B920" s="36" t="s">
        <v>54</v>
      </c>
      <c r="C920" s="37">
        <f t="shared" si="38"/>
        <v>5700000</v>
      </c>
      <c r="D920" s="11">
        <f t="shared" si="39"/>
        <v>171000</v>
      </c>
      <c r="E920" s="11"/>
      <c r="F920" s="11"/>
      <c r="G920" s="11"/>
      <c r="H920" s="11"/>
      <c r="I920" s="42">
        <f t="shared" si="40"/>
        <v>5700000</v>
      </c>
    </row>
    <row r="921" spans="1:9" x14ac:dyDescent="0.3">
      <c r="A921" s="35">
        <v>24</v>
      </c>
      <c r="B921" s="36" t="s">
        <v>55</v>
      </c>
      <c r="C921" s="37">
        <f t="shared" si="38"/>
        <v>4120000</v>
      </c>
      <c r="D921" s="11">
        <f t="shared" si="39"/>
        <v>123600</v>
      </c>
      <c r="E921" s="11"/>
      <c r="F921" s="11"/>
      <c r="G921" s="11"/>
      <c r="H921" s="11"/>
      <c r="I921" s="42">
        <f t="shared" si="40"/>
        <v>4120000</v>
      </c>
    </row>
    <row r="922" spans="1:9" x14ac:dyDescent="0.3">
      <c r="A922" s="35">
        <v>25</v>
      </c>
      <c r="B922" s="36" t="s">
        <v>56</v>
      </c>
      <c r="C922" s="37">
        <f t="shared" si="38"/>
        <v>3300000</v>
      </c>
      <c r="D922" s="11">
        <f t="shared" si="39"/>
        <v>99000</v>
      </c>
      <c r="E922" s="11"/>
      <c r="F922" s="11"/>
      <c r="G922" s="11"/>
      <c r="H922" s="11"/>
      <c r="I922" s="42">
        <f t="shared" si="40"/>
        <v>3300000</v>
      </c>
    </row>
    <row r="923" spans="1:9" x14ac:dyDescent="0.3">
      <c r="A923" s="35">
        <v>26</v>
      </c>
      <c r="B923" s="36" t="s">
        <v>57</v>
      </c>
      <c r="C923" s="37">
        <f t="shared" si="38"/>
        <v>1000000</v>
      </c>
      <c r="D923" s="11">
        <f t="shared" si="39"/>
        <v>30000</v>
      </c>
      <c r="E923" s="11"/>
      <c r="F923" s="11"/>
      <c r="G923" s="11"/>
      <c r="H923" s="11"/>
      <c r="I923" s="42">
        <f t="shared" si="40"/>
        <v>1000000</v>
      </c>
    </row>
    <row r="924" spans="1:9" x14ac:dyDescent="0.3">
      <c r="A924" s="35">
        <v>27</v>
      </c>
      <c r="B924" s="36" t="s">
        <v>58</v>
      </c>
      <c r="C924" s="37">
        <f t="shared" si="38"/>
        <v>2000000</v>
      </c>
      <c r="D924" s="11">
        <f t="shared" si="39"/>
        <v>60000</v>
      </c>
      <c r="E924" s="11"/>
      <c r="F924" s="11"/>
      <c r="G924" s="11"/>
      <c r="H924" s="11"/>
      <c r="I924" s="42">
        <f t="shared" si="40"/>
        <v>2000000</v>
      </c>
    </row>
    <row r="925" spans="1:9" x14ac:dyDescent="0.3">
      <c r="A925" s="35">
        <v>28</v>
      </c>
      <c r="B925" s="36" t="s">
        <v>59</v>
      </c>
      <c r="C925" s="37">
        <f t="shared" si="38"/>
        <v>7426300</v>
      </c>
      <c r="D925" s="11">
        <f t="shared" si="39"/>
        <v>222789</v>
      </c>
      <c r="E925" s="11"/>
      <c r="F925" s="11"/>
      <c r="G925" s="11"/>
      <c r="H925" s="11"/>
      <c r="I925" s="42">
        <f t="shared" si="40"/>
        <v>7426300</v>
      </c>
    </row>
    <row r="926" spans="1:9" x14ac:dyDescent="0.3">
      <c r="A926" s="35">
        <v>29</v>
      </c>
      <c r="B926" s="36" t="s">
        <v>60</v>
      </c>
      <c r="C926" s="37">
        <f t="shared" si="38"/>
        <v>10000000</v>
      </c>
      <c r="D926" s="11">
        <f t="shared" si="39"/>
        <v>300000</v>
      </c>
      <c r="E926" s="11"/>
      <c r="F926" s="11"/>
      <c r="G926" s="11"/>
      <c r="H926" s="11"/>
      <c r="I926" s="42">
        <f t="shared" si="40"/>
        <v>10000000</v>
      </c>
    </row>
    <row r="927" spans="1:9" x14ac:dyDescent="0.3">
      <c r="A927" s="35">
        <v>30</v>
      </c>
      <c r="B927" s="36" t="s">
        <v>61</v>
      </c>
      <c r="C927" s="37">
        <f t="shared" si="38"/>
        <v>2000000</v>
      </c>
      <c r="D927" s="11">
        <f t="shared" si="39"/>
        <v>60000</v>
      </c>
      <c r="E927" s="11"/>
      <c r="F927" s="11"/>
      <c r="G927" s="11"/>
      <c r="H927" s="11"/>
      <c r="I927" s="42">
        <f t="shared" si="40"/>
        <v>2000000</v>
      </c>
    </row>
    <row r="928" spans="1:9" x14ac:dyDescent="0.3">
      <c r="A928" s="35">
        <v>31</v>
      </c>
      <c r="B928" s="36" t="s">
        <v>62</v>
      </c>
      <c r="C928" s="37">
        <f t="shared" si="38"/>
        <v>23982541</v>
      </c>
      <c r="D928" s="11">
        <f t="shared" si="39"/>
        <v>719476.23</v>
      </c>
      <c r="E928" s="11"/>
      <c r="F928" s="11"/>
      <c r="G928" s="11"/>
      <c r="H928" s="11"/>
      <c r="I928" s="42">
        <f t="shared" si="40"/>
        <v>23982541</v>
      </c>
    </row>
    <row r="929" spans="1:9" x14ac:dyDescent="0.3">
      <c r="A929" s="35">
        <v>32</v>
      </c>
      <c r="B929" s="36" t="s">
        <v>63</v>
      </c>
      <c r="C929" s="37">
        <f t="shared" si="38"/>
        <v>6955645</v>
      </c>
      <c r="D929" s="11">
        <f t="shared" si="39"/>
        <v>208669.35</v>
      </c>
      <c r="E929" s="11"/>
      <c r="F929" s="11"/>
      <c r="G929" s="11"/>
      <c r="H929" s="11"/>
      <c r="I929" s="42">
        <f t="shared" si="40"/>
        <v>6955645</v>
      </c>
    </row>
    <row r="930" spans="1:9" x14ac:dyDescent="0.3">
      <c r="A930" s="35">
        <v>33</v>
      </c>
      <c r="B930" s="36" t="s">
        <v>64</v>
      </c>
      <c r="C930" s="37">
        <f t="shared" si="38"/>
        <v>9500000</v>
      </c>
      <c r="D930" s="11">
        <f t="shared" si="39"/>
        <v>285000</v>
      </c>
      <c r="E930" s="11"/>
      <c r="F930" s="11"/>
      <c r="G930" s="11"/>
      <c r="H930" s="11"/>
      <c r="I930" s="42">
        <f t="shared" si="40"/>
        <v>9500000</v>
      </c>
    </row>
    <row r="931" spans="1:9" x14ac:dyDescent="0.3">
      <c r="A931" s="35">
        <v>34</v>
      </c>
      <c r="B931" s="36" t="s">
        <v>65</v>
      </c>
      <c r="C931" s="37">
        <f t="shared" si="38"/>
        <v>5500000</v>
      </c>
      <c r="D931" s="11">
        <f t="shared" si="39"/>
        <v>165000</v>
      </c>
      <c r="E931" s="11"/>
      <c r="F931" s="11"/>
      <c r="G931" s="11"/>
      <c r="H931" s="11"/>
      <c r="I931" s="42">
        <f t="shared" si="40"/>
        <v>5500000</v>
      </c>
    </row>
    <row r="932" spans="1:9" x14ac:dyDescent="0.3">
      <c r="A932" s="35">
        <v>35</v>
      </c>
      <c r="B932" s="36" t="s">
        <v>66</v>
      </c>
      <c r="C932" s="37">
        <f t="shared" si="38"/>
        <v>14500000</v>
      </c>
      <c r="D932" s="11">
        <f t="shared" si="39"/>
        <v>435000</v>
      </c>
      <c r="E932" s="11"/>
      <c r="F932" s="11"/>
      <c r="G932" s="11"/>
      <c r="H932" s="11"/>
      <c r="I932" s="42">
        <f t="shared" si="40"/>
        <v>14500000</v>
      </c>
    </row>
    <row r="933" spans="1:9" x14ac:dyDescent="0.3">
      <c r="A933" s="35">
        <v>36</v>
      </c>
      <c r="B933" s="36" t="s">
        <v>67</v>
      </c>
      <c r="C933" s="37">
        <f t="shared" si="38"/>
        <v>2500000</v>
      </c>
      <c r="D933" s="11">
        <f t="shared" si="39"/>
        <v>75000</v>
      </c>
      <c r="E933" s="11"/>
      <c r="F933" s="11"/>
      <c r="G933" s="11"/>
      <c r="H933" s="11"/>
      <c r="I933" s="42">
        <f t="shared" si="40"/>
        <v>2500000</v>
      </c>
    </row>
    <row r="934" spans="1:9" x14ac:dyDescent="0.3">
      <c r="A934" s="35">
        <v>37</v>
      </c>
      <c r="B934" s="36" t="s">
        <v>68</v>
      </c>
      <c r="C934" s="37">
        <f t="shared" si="38"/>
        <v>12000000</v>
      </c>
      <c r="D934" s="11">
        <f t="shared" si="39"/>
        <v>360000</v>
      </c>
      <c r="E934" s="11"/>
      <c r="F934" s="11"/>
      <c r="G934" s="11"/>
      <c r="H934" s="11"/>
      <c r="I934" s="42">
        <f t="shared" si="40"/>
        <v>12000000</v>
      </c>
    </row>
    <row r="935" spans="1:9" x14ac:dyDescent="0.3">
      <c r="A935" s="35">
        <v>38</v>
      </c>
      <c r="B935" s="36" t="s">
        <v>69</v>
      </c>
      <c r="C935" s="37">
        <f t="shared" si="38"/>
        <v>7000000</v>
      </c>
      <c r="D935" s="11">
        <f t="shared" si="39"/>
        <v>210000</v>
      </c>
      <c r="E935" s="11"/>
      <c r="F935" s="11"/>
      <c r="G935" s="11"/>
      <c r="H935" s="11"/>
      <c r="I935" s="42">
        <f>C935+E935-F935+G935-H935</f>
        <v>7000000</v>
      </c>
    </row>
    <row r="936" spans="1:9" x14ac:dyDescent="0.3">
      <c r="A936" s="35">
        <v>39</v>
      </c>
      <c r="B936" s="36" t="s">
        <v>70</v>
      </c>
      <c r="C936" s="37">
        <f t="shared" si="38"/>
        <v>1000000</v>
      </c>
      <c r="D936" s="11">
        <f t="shared" si="39"/>
        <v>30000</v>
      </c>
      <c r="E936" s="11"/>
      <c r="F936" s="11"/>
      <c r="G936" s="11"/>
      <c r="H936" s="11"/>
      <c r="I936" s="42">
        <f t="shared" ref="I936:I959" si="41">C936+E936-F936+G936-H936</f>
        <v>1000000</v>
      </c>
    </row>
    <row r="937" spans="1:9" x14ac:dyDescent="0.3">
      <c r="A937" s="35">
        <v>40</v>
      </c>
      <c r="B937" s="36" t="s">
        <v>71</v>
      </c>
      <c r="C937" s="37">
        <f t="shared" si="38"/>
        <v>8500000</v>
      </c>
      <c r="D937" s="11">
        <f t="shared" si="39"/>
        <v>255000</v>
      </c>
      <c r="E937" s="11"/>
      <c r="F937" s="11"/>
      <c r="G937" s="11"/>
      <c r="H937" s="11"/>
      <c r="I937" s="42">
        <f t="shared" si="41"/>
        <v>8500000</v>
      </c>
    </row>
    <row r="938" spans="1:9" x14ac:dyDescent="0.3">
      <c r="A938" s="35">
        <v>41</v>
      </c>
      <c r="B938" s="36" t="s">
        <v>72</v>
      </c>
      <c r="C938" s="37">
        <f t="shared" si="38"/>
        <v>2000000</v>
      </c>
      <c r="D938" s="11">
        <f t="shared" si="39"/>
        <v>60000</v>
      </c>
      <c r="E938" s="11"/>
      <c r="F938" s="11"/>
      <c r="G938" s="11"/>
      <c r="H938" s="11"/>
      <c r="I938" s="42">
        <f t="shared" si="41"/>
        <v>2000000</v>
      </c>
    </row>
    <row r="939" spans="1:9" x14ac:dyDescent="0.3">
      <c r="A939" s="35">
        <v>42</v>
      </c>
      <c r="B939" s="65" t="s">
        <v>73</v>
      </c>
      <c r="C939" s="37">
        <f t="shared" si="38"/>
        <v>4000000</v>
      </c>
      <c r="D939" s="11">
        <f t="shared" si="39"/>
        <v>120000</v>
      </c>
      <c r="E939" s="38"/>
      <c r="F939" s="38"/>
      <c r="G939" s="38"/>
      <c r="H939" s="11"/>
      <c r="I939" s="42">
        <f t="shared" si="41"/>
        <v>4000000</v>
      </c>
    </row>
    <row r="940" spans="1:9" x14ac:dyDescent="0.3">
      <c r="A940" s="35">
        <v>43</v>
      </c>
      <c r="B940" s="65" t="s">
        <v>74</v>
      </c>
      <c r="C940" s="37">
        <f t="shared" si="38"/>
        <v>6000000</v>
      </c>
      <c r="D940" s="11">
        <f t="shared" si="39"/>
        <v>180000</v>
      </c>
      <c r="E940" s="38"/>
      <c r="F940" s="38"/>
      <c r="G940" s="38"/>
      <c r="H940" s="11"/>
      <c r="I940" s="42">
        <f t="shared" si="41"/>
        <v>6000000</v>
      </c>
    </row>
    <row r="941" spans="1:9" x14ac:dyDescent="0.3">
      <c r="A941" s="35">
        <v>44</v>
      </c>
      <c r="B941" s="65" t="s">
        <v>75</v>
      </c>
      <c r="C941" s="37">
        <f t="shared" si="38"/>
        <v>3000000</v>
      </c>
      <c r="D941" s="11">
        <f t="shared" si="39"/>
        <v>90000</v>
      </c>
      <c r="E941" s="38"/>
      <c r="F941" s="38"/>
      <c r="G941" s="38"/>
      <c r="H941" s="11"/>
      <c r="I941" s="42">
        <f t="shared" si="41"/>
        <v>3000000</v>
      </c>
    </row>
    <row r="942" spans="1:9" x14ac:dyDescent="0.3">
      <c r="A942" s="35">
        <v>45</v>
      </c>
      <c r="B942" s="36" t="s">
        <v>76</v>
      </c>
      <c r="C942" s="37">
        <f t="shared" si="38"/>
        <v>1000000</v>
      </c>
      <c r="D942" s="11">
        <f t="shared" si="39"/>
        <v>30000</v>
      </c>
      <c r="E942" s="11"/>
      <c r="F942" s="11"/>
      <c r="G942" s="11"/>
      <c r="H942" s="11"/>
      <c r="I942" s="42">
        <f t="shared" si="41"/>
        <v>1000000</v>
      </c>
    </row>
    <row r="943" spans="1:9" x14ac:dyDescent="0.3">
      <c r="A943" s="39">
        <v>46</v>
      </c>
      <c r="B943" s="66" t="s">
        <v>77</v>
      </c>
      <c r="C943" s="37">
        <f t="shared" si="38"/>
        <v>7000000</v>
      </c>
      <c r="D943" s="11">
        <f t="shared" si="39"/>
        <v>210000</v>
      </c>
      <c r="E943" s="41"/>
      <c r="F943" s="41"/>
      <c r="G943" s="41"/>
      <c r="H943" s="40"/>
      <c r="I943" s="42">
        <f t="shared" si="41"/>
        <v>7000000</v>
      </c>
    </row>
    <row r="944" spans="1:9" x14ac:dyDescent="0.3">
      <c r="A944" s="35">
        <v>47</v>
      </c>
      <c r="B944" s="65" t="s">
        <v>78</v>
      </c>
      <c r="C944" s="37">
        <f t="shared" si="38"/>
        <v>2500000</v>
      </c>
      <c r="D944" s="11">
        <f t="shared" si="39"/>
        <v>75000</v>
      </c>
      <c r="E944" s="38"/>
      <c r="F944" s="38"/>
      <c r="G944" s="38"/>
      <c r="H944" s="11"/>
      <c r="I944" s="42">
        <f t="shared" si="41"/>
        <v>2500000</v>
      </c>
    </row>
    <row r="945" spans="1:9" x14ac:dyDescent="0.3">
      <c r="A945" s="35">
        <v>48</v>
      </c>
      <c r="B945" s="36" t="s">
        <v>79</v>
      </c>
      <c r="C945" s="37">
        <f t="shared" si="38"/>
        <v>1030000</v>
      </c>
      <c r="D945" s="11">
        <f t="shared" si="39"/>
        <v>30900</v>
      </c>
      <c r="E945" s="11"/>
      <c r="F945" s="11"/>
      <c r="G945" s="11"/>
      <c r="H945" s="11"/>
      <c r="I945" s="42">
        <f t="shared" si="41"/>
        <v>1030000</v>
      </c>
    </row>
    <row r="946" spans="1:9" x14ac:dyDescent="0.3">
      <c r="A946" s="35">
        <v>49</v>
      </c>
      <c r="B946" s="36" t="s">
        <v>80</v>
      </c>
      <c r="C946" s="37">
        <f t="shared" si="38"/>
        <v>2000000</v>
      </c>
      <c r="D946" s="11">
        <f t="shared" si="39"/>
        <v>60000</v>
      </c>
      <c r="E946" s="11"/>
      <c r="F946" s="11"/>
      <c r="G946" s="11"/>
      <c r="H946" s="11"/>
      <c r="I946" s="42">
        <f t="shared" si="41"/>
        <v>2000000</v>
      </c>
    </row>
    <row r="947" spans="1:9" x14ac:dyDescent="0.3">
      <c r="A947" s="35">
        <v>50</v>
      </c>
      <c r="B947" s="36" t="s">
        <v>81</v>
      </c>
      <c r="C947" s="37">
        <f t="shared" si="38"/>
        <v>19128023</v>
      </c>
      <c r="D947" s="11">
        <f t="shared" si="39"/>
        <v>573840.68999999994</v>
      </c>
      <c r="E947" s="11"/>
      <c r="F947" s="11"/>
      <c r="G947" s="11"/>
      <c r="H947" s="11"/>
      <c r="I947" s="42">
        <f t="shared" si="41"/>
        <v>19128023</v>
      </c>
    </row>
    <row r="948" spans="1:9" x14ac:dyDescent="0.3">
      <c r="A948" s="35">
        <v>51</v>
      </c>
      <c r="B948" s="36" t="s">
        <v>82</v>
      </c>
      <c r="C948" s="37">
        <f t="shared" si="38"/>
        <v>500000</v>
      </c>
      <c r="D948" s="11">
        <f t="shared" si="39"/>
        <v>15000</v>
      </c>
      <c r="E948" s="11"/>
      <c r="F948" s="11"/>
      <c r="G948" s="11"/>
      <c r="H948" s="11"/>
      <c r="I948" s="42">
        <f t="shared" si="41"/>
        <v>500000</v>
      </c>
    </row>
    <row r="949" spans="1:9" x14ac:dyDescent="0.3">
      <c r="A949" s="35">
        <v>52</v>
      </c>
      <c r="B949" s="65" t="s">
        <v>83</v>
      </c>
      <c r="C949" s="37">
        <f t="shared" si="38"/>
        <v>12300000</v>
      </c>
      <c r="D949" s="11">
        <f t="shared" si="39"/>
        <v>369000</v>
      </c>
      <c r="E949" s="38"/>
      <c r="F949" s="38"/>
      <c r="G949" s="38"/>
      <c r="H949" s="11"/>
      <c r="I949" s="42">
        <f t="shared" si="41"/>
        <v>12300000</v>
      </c>
    </row>
    <row r="950" spans="1:9" x14ac:dyDescent="0.3">
      <c r="A950" s="35">
        <v>53</v>
      </c>
      <c r="B950" s="65" t="s">
        <v>84</v>
      </c>
      <c r="C950" s="37">
        <f t="shared" si="38"/>
        <v>3000000</v>
      </c>
      <c r="D950" s="11">
        <f t="shared" si="39"/>
        <v>90000</v>
      </c>
      <c r="E950" s="38"/>
      <c r="F950" s="38"/>
      <c r="G950" s="38"/>
      <c r="H950" s="11"/>
      <c r="I950" s="42">
        <f t="shared" si="41"/>
        <v>3000000</v>
      </c>
    </row>
    <row r="951" spans="1:9" x14ac:dyDescent="0.3">
      <c r="A951" s="35">
        <v>54</v>
      </c>
      <c r="B951" s="65" t="s">
        <v>85</v>
      </c>
      <c r="C951" s="37">
        <f t="shared" si="38"/>
        <v>6000000</v>
      </c>
      <c r="D951" s="11">
        <f t="shared" si="39"/>
        <v>180000</v>
      </c>
      <c r="E951" s="38"/>
      <c r="F951" s="38"/>
      <c r="G951" s="38"/>
      <c r="H951" s="11"/>
      <c r="I951" s="42">
        <f t="shared" si="41"/>
        <v>6000000</v>
      </c>
    </row>
    <row r="952" spans="1:9" x14ac:dyDescent="0.3">
      <c r="A952" s="35">
        <v>55</v>
      </c>
      <c r="B952" s="65" t="s">
        <v>86</v>
      </c>
      <c r="C952" s="37">
        <f t="shared" si="38"/>
        <v>14500000</v>
      </c>
      <c r="D952" s="11">
        <f t="shared" si="39"/>
        <v>435000</v>
      </c>
      <c r="E952" s="38"/>
      <c r="F952" s="38"/>
      <c r="G952" s="38"/>
      <c r="H952" s="11"/>
      <c r="I952" s="42">
        <f t="shared" si="41"/>
        <v>14500000</v>
      </c>
    </row>
    <row r="953" spans="1:9" x14ac:dyDescent="0.3">
      <c r="A953" s="35">
        <v>56</v>
      </c>
      <c r="B953" s="36" t="s">
        <v>87</v>
      </c>
      <c r="C953" s="37">
        <f t="shared" si="38"/>
        <v>17000000</v>
      </c>
      <c r="D953" s="11">
        <f t="shared" si="39"/>
        <v>510000</v>
      </c>
      <c r="E953" s="38"/>
      <c r="F953" s="38"/>
      <c r="G953" s="38"/>
      <c r="H953" s="11"/>
      <c r="I953" s="42">
        <f t="shared" si="41"/>
        <v>17000000</v>
      </c>
    </row>
    <row r="954" spans="1:9" x14ac:dyDescent="0.3">
      <c r="A954" s="35">
        <v>58</v>
      </c>
      <c r="B954" s="65" t="s">
        <v>88</v>
      </c>
      <c r="C954" s="37">
        <f t="shared" si="38"/>
        <v>1000000</v>
      </c>
      <c r="D954" s="11">
        <f t="shared" si="39"/>
        <v>30000</v>
      </c>
      <c r="E954" s="38"/>
      <c r="F954" s="38"/>
      <c r="G954" s="38"/>
      <c r="H954" s="38"/>
      <c r="I954" s="42">
        <f t="shared" si="41"/>
        <v>1000000</v>
      </c>
    </row>
    <row r="955" spans="1:9" x14ac:dyDescent="0.3">
      <c r="A955" s="35">
        <v>59</v>
      </c>
      <c r="B955" s="36" t="s">
        <v>89</v>
      </c>
      <c r="C955" s="37">
        <f t="shared" si="38"/>
        <v>2000000</v>
      </c>
      <c r="D955" s="11">
        <f t="shared" si="39"/>
        <v>60000</v>
      </c>
      <c r="E955" s="11"/>
      <c r="F955" s="11"/>
      <c r="G955" s="11"/>
      <c r="H955" s="11"/>
      <c r="I955" s="42">
        <f t="shared" si="41"/>
        <v>2000000</v>
      </c>
    </row>
    <row r="956" spans="1:9" x14ac:dyDescent="0.3">
      <c r="A956" s="35">
        <v>60</v>
      </c>
      <c r="B956" s="36" t="s">
        <v>90</v>
      </c>
      <c r="C956" s="37">
        <f t="shared" si="38"/>
        <v>3000000</v>
      </c>
      <c r="D956" s="11">
        <f t="shared" si="39"/>
        <v>90000</v>
      </c>
      <c r="E956" s="11"/>
      <c r="F956" s="11"/>
      <c r="G956" s="11"/>
      <c r="H956" s="11"/>
      <c r="I956" s="42">
        <f t="shared" si="41"/>
        <v>3000000</v>
      </c>
    </row>
    <row r="957" spans="1:9" x14ac:dyDescent="0.3">
      <c r="A957" s="35">
        <v>61</v>
      </c>
      <c r="B957" s="36" t="s">
        <v>91</v>
      </c>
      <c r="C957" s="37">
        <f t="shared" si="38"/>
        <v>1500000</v>
      </c>
      <c r="D957" s="11">
        <f t="shared" si="39"/>
        <v>45000</v>
      </c>
      <c r="E957" s="11"/>
      <c r="F957" s="11"/>
      <c r="G957" s="11"/>
      <c r="H957" s="11"/>
      <c r="I957" s="42">
        <f t="shared" si="41"/>
        <v>1500000</v>
      </c>
    </row>
    <row r="958" spans="1:9" x14ac:dyDescent="0.3">
      <c r="A958" s="35">
        <v>62</v>
      </c>
      <c r="B958" s="36" t="s">
        <v>92</v>
      </c>
      <c r="C958" s="37">
        <f t="shared" si="38"/>
        <v>0</v>
      </c>
      <c r="D958" s="11">
        <f t="shared" si="39"/>
        <v>0</v>
      </c>
      <c r="E958" s="38"/>
      <c r="F958" s="11"/>
      <c r="G958" s="11"/>
      <c r="H958" s="11"/>
      <c r="I958" s="42">
        <f t="shared" si="41"/>
        <v>0</v>
      </c>
    </row>
    <row r="959" spans="1:9" x14ac:dyDescent="0.3">
      <c r="A959" s="35">
        <v>63</v>
      </c>
      <c r="B959" s="36" t="s">
        <v>93</v>
      </c>
      <c r="C959" s="37">
        <f t="shared" si="38"/>
        <v>0</v>
      </c>
      <c r="D959" s="11">
        <f t="shared" si="39"/>
        <v>0</v>
      </c>
      <c r="E959" s="38"/>
      <c r="F959" s="43"/>
      <c r="G959" s="11"/>
      <c r="H959" s="11"/>
      <c r="I959" s="42">
        <f t="shared" si="41"/>
        <v>0</v>
      </c>
    </row>
    <row r="960" spans="1:9" ht="17.25" thickBot="1" x14ac:dyDescent="0.35">
      <c r="A960" s="44" t="s">
        <v>13</v>
      </c>
      <c r="B960" s="45"/>
      <c r="C960" s="46">
        <f>SUM(C898:C959)</f>
        <v>338381509</v>
      </c>
      <c r="D960" s="47">
        <f>SUM(D898:D959)</f>
        <v>10151445.27</v>
      </c>
      <c r="E960" s="15">
        <f>SUM(E898:E959)</f>
        <v>0</v>
      </c>
      <c r="F960" s="15">
        <f>SUM(F898:F959)</f>
        <v>0</v>
      </c>
      <c r="G960" s="16">
        <f>SUM(G899:G959)</f>
        <v>0</v>
      </c>
      <c r="H960" s="16">
        <f>SUM(H898:H959)</f>
        <v>0</v>
      </c>
      <c r="I960" s="48">
        <f>SUM(I898:I959)</f>
        <v>338381509</v>
      </c>
    </row>
    <row r="961" spans="1:9" x14ac:dyDescent="0.3">
      <c r="C961" s="49"/>
      <c r="D961" s="50"/>
      <c r="E961" s="50"/>
      <c r="F961" s="50"/>
      <c r="I961" s="19"/>
    </row>
    <row r="962" spans="1:9" x14ac:dyDescent="0.3">
      <c r="H962" s="2" t="s">
        <v>94</v>
      </c>
    </row>
    <row r="966" spans="1:9" s="3" customFormat="1" x14ac:dyDescent="0.3">
      <c r="A966" s="2"/>
      <c r="B966" s="2"/>
      <c r="C966" s="2"/>
      <c r="D966" s="2"/>
      <c r="E966" s="2"/>
      <c r="F966" s="2"/>
      <c r="G966" s="2"/>
      <c r="H966" s="51" t="s">
        <v>15</v>
      </c>
    </row>
    <row r="1005" spans="1:9" ht="20.25" x14ac:dyDescent="0.3">
      <c r="A1005" s="52" t="s">
        <v>95</v>
      </c>
      <c r="B1005" s="52"/>
      <c r="C1005" s="52"/>
      <c r="D1005" s="52"/>
      <c r="E1005" s="52"/>
      <c r="F1005" s="52"/>
      <c r="G1005" s="52"/>
      <c r="H1005" s="52"/>
      <c r="I1005" s="52"/>
    </row>
    <row r="1007" spans="1:9" ht="49.5" x14ac:dyDescent="0.3">
      <c r="A1007" s="53" t="s">
        <v>1</v>
      </c>
      <c r="B1007" s="53" t="s">
        <v>2</v>
      </c>
      <c r="C1007" s="53" t="s">
        <v>3</v>
      </c>
      <c r="D1007" s="55" t="s">
        <v>4</v>
      </c>
      <c r="E1007" s="55" t="s">
        <v>5</v>
      </c>
      <c r="F1007" s="55" t="s">
        <v>6</v>
      </c>
      <c r="G1007" s="55" t="s">
        <v>7</v>
      </c>
      <c r="H1007" s="55" t="s">
        <v>8</v>
      </c>
      <c r="I1007" s="5" t="s">
        <v>17</v>
      </c>
    </row>
    <row r="1008" spans="1:9" x14ac:dyDescent="0.3">
      <c r="A1008" s="56"/>
      <c r="B1008" s="56"/>
      <c r="C1008" s="56"/>
      <c r="D1008" s="58">
        <v>45872</v>
      </c>
      <c r="E1008" s="58">
        <f>D1008</f>
        <v>45872</v>
      </c>
      <c r="F1008" s="58">
        <f>E1008</f>
        <v>45872</v>
      </c>
      <c r="G1008" s="58">
        <f>F1008</f>
        <v>45872</v>
      </c>
      <c r="H1008" s="58">
        <f>G1008</f>
        <v>45872</v>
      </c>
      <c r="I1008" s="58">
        <f>H1008</f>
        <v>45872</v>
      </c>
    </row>
    <row r="1009" spans="1:9" x14ac:dyDescent="0.3">
      <c r="A1009" s="35">
        <v>1</v>
      </c>
      <c r="B1009" s="36" t="str">
        <f>B898</f>
        <v>Abd Rochman 2</v>
      </c>
      <c r="C1009" s="37">
        <f t="shared" ref="C1009:C1070" si="42">I898</f>
        <v>13500000</v>
      </c>
      <c r="D1009" s="11">
        <f>C1009*3%</f>
        <v>405000</v>
      </c>
      <c r="E1009" s="11"/>
      <c r="F1009" s="11"/>
      <c r="G1009" s="11"/>
      <c r="H1009" s="11"/>
      <c r="I1009" s="11">
        <f t="shared" ref="I1009:I1045" si="43">C1009+E1009-F1009+G1009-H1009</f>
        <v>13500000</v>
      </c>
    </row>
    <row r="1010" spans="1:9" x14ac:dyDescent="0.3">
      <c r="A1010" s="35">
        <v>2</v>
      </c>
      <c r="B1010" s="36" t="str">
        <f t="shared" ref="B1010:B1070" si="44">B899</f>
        <v>Ali Muttaqin</v>
      </c>
      <c r="C1010" s="37">
        <f t="shared" si="42"/>
        <v>5000000</v>
      </c>
      <c r="D1010" s="11">
        <f t="shared" ref="D1010:D1070" si="45">C1010*3%</f>
        <v>150000</v>
      </c>
      <c r="E1010" s="11"/>
      <c r="F1010" s="11"/>
      <c r="G1010" s="11"/>
      <c r="H1010" s="11"/>
      <c r="I1010" s="11">
        <f t="shared" si="43"/>
        <v>5000000</v>
      </c>
    </row>
    <row r="1011" spans="1:9" x14ac:dyDescent="0.3">
      <c r="A1011" s="35">
        <v>3</v>
      </c>
      <c r="B1011" s="36" t="str">
        <f t="shared" si="44"/>
        <v>Amnan</v>
      </c>
      <c r="C1011" s="37">
        <f t="shared" si="42"/>
        <v>10000000</v>
      </c>
      <c r="D1011" s="11">
        <f t="shared" si="45"/>
        <v>300000</v>
      </c>
      <c r="E1011" s="11"/>
      <c r="F1011" s="11"/>
      <c r="G1011" s="11">
        <v>100000</v>
      </c>
      <c r="H1011" s="11"/>
      <c r="I1011" s="11">
        <f t="shared" si="43"/>
        <v>10100000</v>
      </c>
    </row>
    <row r="1012" spans="1:9" x14ac:dyDescent="0.3">
      <c r="A1012" s="35">
        <v>4</v>
      </c>
      <c r="B1012" s="36" t="str">
        <f t="shared" si="44"/>
        <v>Bambang</v>
      </c>
      <c r="C1012" s="37">
        <f t="shared" si="42"/>
        <v>7800000</v>
      </c>
      <c r="D1012" s="11">
        <f t="shared" si="45"/>
        <v>234000</v>
      </c>
      <c r="E1012" s="11"/>
      <c r="F1012" s="11"/>
      <c r="G1012" s="11"/>
      <c r="H1012" s="11"/>
      <c r="I1012" s="11">
        <f t="shared" si="43"/>
        <v>7800000</v>
      </c>
    </row>
    <row r="1013" spans="1:9" x14ac:dyDescent="0.3">
      <c r="A1013" s="35">
        <v>5</v>
      </c>
      <c r="B1013" s="36" t="str">
        <f t="shared" si="44"/>
        <v>Erham</v>
      </c>
      <c r="C1013" s="37">
        <f t="shared" si="42"/>
        <v>5300000</v>
      </c>
      <c r="D1013" s="11">
        <f t="shared" si="45"/>
        <v>159000</v>
      </c>
      <c r="E1013" s="11"/>
      <c r="F1013" s="11"/>
      <c r="G1013" s="11"/>
      <c r="H1013" s="11"/>
      <c r="I1013" s="11">
        <f t="shared" si="43"/>
        <v>5300000</v>
      </c>
    </row>
    <row r="1014" spans="1:9" x14ac:dyDescent="0.3">
      <c r="A1014" s="35">
        <v>6</v>
      </c>
      <c r="B1014" s="36" t="str">
        <f t="shared" si="44"/>
        <v>Estuningati</v>
      </c>
      <c r="C1014" s="37">
        <f t="shared" si="42"/>
        <v>4000000</v>
      </c>
      <c r="D1014" s="11">
        <f t="shared" si="45"/>
        <v>120000</v>
      </c>
      <c r="E1014" s="11"/>
      <c r="F1014" s="11"/>
      <c r="G1014" s="11"/>
      <c r="H1014" s="11"/>
      <c r="I1014" s="11">
        <f t="shared" si="43"/>
        <v>4000000</v>
      </c>
    </row>
    <row r="1015" spans="1:9" x14ac:dyDescent="0.3">
      <c r="A1015" s="35">
        <v>7</v>
      </c>
      <c r="B1015" s="36" t="str">
        <f t="shared" si="44"/>
        <v>Faisal (Subarin)</v>
      </c>
      <c r="C1015" s="37">
        <f t="shared" si="42"/>
        <v>4240000</v>
      </c>
      <c r="D1015" s="11">
        <f t="shared" si="45"/>
        <v>127200</v>
      </c>
      <c r="E1015" s="11"/>
      <c r="F1015" s="11"/>
      <c r="G1015" s="11"/>
      <c r="H1015" s="11"/>
      <c r="I1015" s="11">
        <f t="shared" si="43"/>
        <v>4240000</v>
      </c>
    </row>
    <row r="1016" spans="1:9" x14ac:dyDescent="0.3">
      <c r="A1016" s="35">
        <v>8</v>
      </c>
      <c r="B1016" s="36" t="str">
        <f t="shared" si="44"/>
        <v>H. Nasikin</v>
      </c>
      <c r="C1016" s="37">
        <f t="shared" si="42"/>
        <v>2000000</v>
      </c>
      <c r="D1016" s="11">
        <f t="shared" si="45"/>
        <v>60000</v>
      </c>
      <c r="E1016" s="11"/>
      <c r="F1016" s="11"/>
      <c r="G1016" s="67"/>
      <c r="H1016" s="11"/>
      <c r="I1016" s="11">
        <f t="shared" si="43"/>
        <v>2000000</v>
      </c>
    </row>
    <row r="1017" spans="1:9" x14ac:dyDescent="0.3">
      <c r="A1017" s="35">
        <v>9</v>
      </c>
      <c r="B1017" s="36" t="str">
        <f t="shared" si="44"/>
        <v>H. Shonhaji</v>
      </c>
      <c r="C1017" s="37">
        <f t="shared" si="42"/>
        <v>1000000</v>
      </c>
      <c r="D1017" s="11">
        <f t="shared" si="45"/>
        <v>30000</v>
      </c>
      <c r="E1017" s="11"/>
      <c r="F1017" s="11"/>
      <c r="G1017" s="67"/>
      <c r="H1017" s="11"/>
      <c r="I1017" s="11">
        <f t="shared" si="43"/>
        <v>1000000</v>
      </c>
    </row>
    <row r="1018" spans="1:9" x14ac:dyDescent="0.3">
      <c r="A1018" s="35">
        <v>10</v>
      </c>
      <c r="B1018" s="36" t="str">
        <f t="shared" si="44"/>
        <v>Hanafi</v>
      </c>
      <c r="C1018" s="37">
        <f t="shared" si="42"/>
        <v>2000000</v>
      </c>
      <c r="D1018" s="11">
        <f t="shared" si="45"/>
        <v>60000</v>
      </c>
      <c r="E1018" s="11"/>
      <c r="F1018" s="11"/>
      <c r="G1018" s="11"/>
      <c r="H1018" s="11"/>
      <c r="I1018" s="11">
        <f t="shared" si="43"/>
        <v>2000000</v>
      </c>
    </row>
    <row r="1019" spans="1:9" x14ac:dyDescent="0.3">
      <c r="A1019" s="35">
        <v>11</v>
      </c>
      <c r="B1019" s="36" t="str">
        <f t="shared" si="44"/>
        <v>Hidayat</v>
      </c>
      <c r="C1019" s="37">
        <f t="shared" si="42"/>
        <v>3599000</v>
      </c>
      <c r="D1019" s="11">
        <f t="shared" si="45"/>
        <v>107970</v>
      </c>
      <c r="E1019" s="11"/>
      <c r="F1019" s="11"/>
      <c r="G1019" s="11"/>
      <c r="H1019" s="11"/>
      <c r="I1019" s="11">
        <f t="shared" si="43"/>
        <v>3599000</v>
      </c>
    </row>
    <row r="1020" spans="1:9" x14ac:dyDescent="0.3">
      <c r="A1020" s="35">
        <v>12</v>
      </c>
      <c r="B1020" s="36" t="str">
        <f t="shared" si="44"/>
        <v>Ika Tartila</v>
      </c>
      <c r="C1020" s="37">
        <f t="shared" si="42"/>
        <v>3000000</v>
      </c>
      <c r="D1020" s="11">
        <f t="shared" si="45"/>
        <v>90000</v>
      </c>
      <c r="E1020" s="11"/>
      <c r="F1020" s="11"/>
      <c r="G1020" s="11"/>
      <c r="H1020" s="11"/>
      <c r="I1020" s="11">
        <f t="shared" si="43"/>
        <v>3000000</v>
      </c>
    </row>
    <row r="1021" spans="1:9" x14ac:dyDescent="0.3">
      <c r="A1021" s="35">
        <v>13</v>
      </c>
      <c r="B1021" s="36" t="str">
        <f t="shared" si="44"/>
        <v>Jumiah 2</v>
      </c>
      <c r="C1021" s="37">
        <f t="shared" si="42"/>
        <v>7100000</v>
      </c>
      <c r="D1021" s="11">
        <f t="shared" si="45"/>
        <v>213000</v>
      </c>
      <c r="E1021" s="11"/>
      <c r="F1021" s="11"/>
      <c r="G1021" s="11"/>
      <c r="H1021" s="11"/>
      <c r="I1021" s="11">
        <f t="shared" si="43"/>
        <v>7100000</v>
      </c>
    </row>
    <row r="1022" spans="1:9" x14ac:dyDescent="0.3">
      <c r="A1022" s="35">
        <v>14</v>
      </c>
      <c r="B1022" s="36" t="str">
        <f t="shared" si="44"/>
        <v>Kamari</v>
      </c>
      <c r="C1022" s="37">
        <f t="shared" si="42"/>
        <v>3000000</v>
      </c>
      <c r="D1022" s="11">
        <f t="shared" si="45"/>
        <v>90000</v>
      </c>
      <c r="E1022" s="11"/>
      <c r="F1022" s="11"/>
      <c r="G1022" s="11"/>
      <c r="H1022" s="11"/>
      <c r="I1022" s="11">
        <f t="shared" si="43"/>
        <v>3000000</v>
      </c>
    </row>
    <row r="1023" spans="1:9" x14ac:dyDescent="0.3">
      <c r="A1023" s="35">
        <v>15</v>
      </c>
      <c r="B1023" s="36" t="str">
        <f t="shared" si="44"/>
        <v xml:space="preserve">Kolidi </v>
      </c>
      <c r="C1023" s="37">
        <f t="shared" si="42"/>
        <v>1500000</v>
      </c>
      <c r="D1023" s="11">
        <f t="shared" si="45"/>
        <v>45000</v>
      </c>
      <c r="E1023" s="11"/>
      <c r="F1023" s="11"/>
      <c r="G1023" s="11"/>
      <c r="H1023" s="11"/>
      <c r="I1023" s="11">
        <f t="shared" si="43"/>
        <v>1500000</v>
      </c>
    </row>
    <row r="1024" spans="1:9" x14ac:dyDescent="0.3">
      <c r="A1024" s="35">
        <v>16</v>
      </c>
      <c r="B1024" s="36" t="str">
        <f t="shared" si="44"/>
        <v>Kuspandi</v>
      </c>
      <c r="C1024" s="37">
        <f t="shared" si="42"/>
        <v>500000</v>
      </c>
      <c r="D1024" s="11">
        <f t="shared" si="45"/>
        <v>15000</v>
      </c>
      <c r="E1024" s="11"/>
      <c r="F1024" s="11"/>
      <c r="G1024" s="11"/>
      <c r="H1024" s="11"/>
      <c r="I1024" s="11">
        <f t="shared" si="43"/>
        <v>500000</v>
      </c>
    </row>
    <row r="1025" spans="1:9" x14ac:dyDescent="0.3">
      <c r="A1025" s="35">
        <v>17</v>
      </c>
      <c r="B1025" s="36" t="str">
        <f t="shared" si="44"/>
        <v>Malikan</v>
      </c>
      <c r="C1025" s="37">
        <f t="shared" si="42"/>
        <v>11000000</v>
      </c>
      <c r="D1025" s="11">
        <f t="shared" si="45"/>
        <v>330000</v>
      </c>
      <c r="E1025" s="11"/>
      <c r="F1025" s="11"/>
      <c r="G1025" s="11"/>
      <c r="H1025" s="11"/>
      <c r="I1025" s="11">
        <f t="shared" si="43"/>
        <v>11000000</v>
      </c>
    </row>
    <row r="1026" spans="1:9" x14ac:dyDescent="0.3">
      <c r="A1026" s="35">
        <v>18</v>
      </c>
      <c r="B1026" s="36" t="str">
        <f t="shared" si="44"/>
        <v xml:space="preserve">Mardiyah </v>
      </c>
      <c r="C1026" s="37">
        <f t="shared" si="42"/>
        <v>2000000</v>
      </c>
      <c r="D1026" s="11">
        <f t="shared" si="45"/>
        <v>60000</v>
      </c>
      <c r="E1026" s="11"/>
      <c r="F1026" s="11"/>
      <c r="G1026" s="11"/>
      <c r="H1026" s="11"/>
      <c r="I1026" s="11">
        <f t="shared" si="43"/>
        <v>2000000</v>
      </c>
    </row>
    <row r="1027" spans="1:9" x14ac:dyDescent="0.3">
      <c r="A1027" s="35">
        <v>19</v>
      </c>
      <c r="B1027" s="36" t="str">
        <f t="shared" si="44"/>
        <v>Matakrip</v>
      </c>
      <c r="C1027" s="37">
        <f t="shared" si="42"/>
        <v>3900000</v>
      </c>
      <c r="D1027" s="11">
        <f t="shared" si="45"/>
        <v>117000</v>
      </c>
      <c r="E1027" s="11"/>
      <c r="F1027" s="11"/>
      <c r="G1027" s="11"/>
      <c r="H1027" s="11"/>
      <c r="I1027" s="11">
        <f t="shared" si="43"/>
        <v>3900000</v>
      </c>
    </row>
    <row r="1028" spans="1:9" x14ac:dyDescent="0.3">
      <c r="A1028" s="35">
        <v>20</v>
      </c>
      <c r="B1028" s="36" t="str">
        <f t="shared" si="44"/>
        <v>Matelan (wir)</v>
      </c>
      <c r="C1028" s="37">
        <f t="shared" si="42"/>
        <v>4000000</v>
      </c>
      <c r="D1028" s="11">
        <f t="shared" si="45"/>
        <v>120000</v>
      </c>
      <c r="E1028" s="11"/>
      <c r="F1028" s="11"/>
      <c r="G1028" s="11">
        <v>117000</v>
      </c>
      <c r="H1028" s="11"/>
      <c r="I1028" s="11">
        <f t="shared" si="43"/>
        <v>4117000</v>
      </c>
    </row>
    <row r="1029" spans="1:9" x14ac:dyDescent="0.3">
      <c r="A1029" s="35">
        <v>21</v>
      </c>
      <c r="B1029" s="36" t="str">
        <f t="shared" si="44"/>
        <v>Mathoha</v>
      </c>
      <c r="C1029" s="37">
        <f t="shared" si="42"/>
        <v>1000000</v>
      </c>
      <c r="D1029" s="11">
        <f t="shared" si="45"/>
        <v>30000</v>
      </c>
      <c r="E1029" s="11"/>
      <c r="F1029" s="11"/>
      <c r="G1029" s="11"/>
      <c r="H1029" s="11"/>
      <c r="I1029" s="11">
        <f t="shared" si="43"/>
        <v>1000000</v>
      </c>
    </row>
    <row r="1030" spans="1:9" x14ac:dyDescent="0.3">
      <c r="A1030" s="35">
        <v>22</v>
      </c>
      <c r="B1030" s="36" t="str">
        <f t="shared" si="44"/>
        <v>Matkasan</v>
      </c>
      <c r="C1030" s="37">
        <f t="shared" si="42"/>
        <v>7500000</v>
      </c>
      <c r="D1030" s="11">
        <f t="shared" si="45"/>
        <v>225000</v>
      </c>
      <c r="E1030" s="11"/>
      <c r="F1030" s="11"/>
      <c r="G1030" s="11"/>
      <c r="H1030" s="11"/>
      <c r="I1030" s="11">
        <f t="shared" si="43"/>
        <v>7500000</v>
      </c>
    </row>
    <row r="1031" spans="1:9" x14ac:dyDescent="0.3">
      <c r="A1031" s="35">
        <v>23</v>
      </c>
      <c r="B1031" s="36" t="str">
        <f t="shared" si="44"/>
        <v>Umi Nadhiroh</v>
      </c>
      <c r="C1031" s="37">
        <f t="shared" si="42"/>
        <v>5700000</v>
      </c>
      <c r="D1031" s="11">
        <f t="shared" si="45"/>
        <v>171000</v>
      </c>
      <c r="E1031" s="11"/>
      <c r="F1031" s="11"/>
      <c r="G1031" s="11">
        <v>2000000</v>
      </c>
      <c r="H1031" s="11"/>
      <c r="I1031" s="11">
        <f t="shared" si="43"/>
        <v>7700000</v>
      </c>
    </row>
    <row r="1032" spans="1:9" x14ac:dyDescent="0.3">
      <c r="A1032" s="35">
        <v>24</v>
      </c>
      <c r="B1032" s="36" t="str">
        <f t="shared" si="44"/>
        <v>Mi'an</v>
      </c>
      <c r="C1032" s="37">
        <f t="shared" si="42"/>
        <v>4120000</v>
      </c>
      <c r="D1032" s="11">
        <f t="shared" si="45"/>
        <v>123600</v>
      </c>
      <c r="E1032" s="11"/>
      <c r="F1032" s="11"/>
      <c r="G1032" s="11">
        <v>171000</v>
      </c>
      <c r="H1032" s="11">
        <v>171000</v>
      </c>
      <c r="I1032" s="11">
        <f t="shared" si="43"/>
        <v>4120000</v>
      </c>
    </row>
    <row r="1033" spans="1:9" x14ac:dyDescent="0.3">
      <c r="A1033" s="35">
        <v>25</v>
      </c>
      <c r="B1033" s="36" t="str">
        <f t="shared" si="44"/>
        <v>Mu'minin</v>
      </c>
      <c r="C1033" s="37">
        <f t="shared" si="42"/>
        <v>3300000</v>
      </c>
      <c r="D1033" s="11">
        <f t="shared" si="45"/>
        <v>99000</v>
      </c>
      <c r="E1033" s="11"/>
      <c r="F1033" s="11"/>
      <c r="G1033" s="11"/>
      <c r="H1033" s="11"/>
      <c r="I1033" s="11">
        <f t="shared" si="43"/>
        <v>3300000</v>
      </c>
    </row>
    <row r="1034" spans="1:9" x14ac:dyDescent="0.3">
      <c r="A1034" s="35">
        <v>26</v>
      </c>
      <c r="B1034" s="36" t="str">
        <f t="shared" si="44"/>
        <v>Munawar</v>
      </c>
      <c r="C1034" s="37">
        <f t="shared" si="42"/>
        <v>1000000</v>
      </c>
      <c r="D1034" s="11">
        <f t="shared" si="45"/>
        <v>30000</v>
      </c>
      <c r="E1034" s="11"/>
      <c r="F1034" s="11"/>
      <c r="G1034" s="11"/>
      <c r="H1034" s="11"/>
      <c r="I1034" s="11">
        <f t="shared" si="43"/>
        <v>1000000</v>
      </c>
    </row>
    <row r="1035" spans="1:9" x14ac:dyDescent="0.3">
      <c r="A1035" s="35">
        <v>27</v>
      </c>
      <c r="B1035" s="36" t="str">
        <f t="shared" si="44"/>
        <v>Muslikatin</v>
      </c>
      <c r="C1035" s="37">
        <f t="shared" si="42"/>
        <v>2000000</v>
      </c>
      <c r="D1035" s="11">
        <f t="shared" si="45"/>
        <v>60000</v>
      </c>
      <c r="E1035" s="11"/>
      <c r="F1035" s="11"/>
      <c r="G1035" s="11"/>
      <c r="H1035" s="11"/>
      <c r="I1035" s="11">
        <f t="shared" si="43"/>
        <v>2000000</v>
      </c>
    </row>
    <row r="1036" spans="1:9" x14ac:dyDescent="0.3">
      <c r="A1036" s="35">
        <v>28</v>
      </c>
      <c r="B1036" s="36" t="str">
        <f t="shared" si="44"/>
        <v>Nurhadi</v>
      </c>
      <c r="C1036" s="37">
        <f t="shared" si="42"/>
        <v>7426300</v>
      </c>
      <c r="D1036" s="11">
        <f t="shared" si="45"/>
        <v>222789</v>
      </c>
      <c r="E1036" s="11"/>
      <c r="F1036" s="11"/>
      <c r="G1036" s="11"/>
      <c r="H1036" s="11"/>
      <c r="I1036" s="11">
        <f t="shared" si="43"/>
        <v>7426300</v>
      </c>
    </row>
    <row r="1037" spans="1:9" x14ac:dyDescent="0.3">
      <c r="A1037" s="35">
        <v>29</v>
      </c>
      <c r="B1037" s="36" t="str">
        <f t="shared" si="44"/>
        <v>Siti Nurmahmudah</v>
      </c>
      <c r="C1037" s="37">
        <f t="shared" si="42"/>
        <v>10000000</v>
      </c>
      <c r="D1037" s="11">
        <f t="shared" si="45"/>
        <v>300000</v>
      </c>
      <c r="E1037" s="11"/>
      <c r="F1037" s="11"/>
      <c r="G1037" s="11"/>
      <c r="H1037" s="11"/>
      <c r="I1037" s="11">
        <f t="shared" si="43"/>
        <v>10000000</v>
      </c>
    </row>
    <row r="1038" spans="1:9" x14ac:dyDescent="0.3">
      <c r="A1038" s="35">
        <v>30</v>
      </c>
      <c r="B1038" s="36" t="str">
        <f t="shared" si="44"/>
        <v>Saeman</v>
      </c>
      <c r="C1038" s="37">
        <f t="shared" si="42"/>
        <v>2000000</v>
      </c>
      <c r="D1038" s="11">
        <f t="shared" si="45"/>
        <v>60000</v>
      </c>
      <c r="E1038" s="11"/>
      <c r="F1038" s="11"/>
      <c r="G1038" s="11"/>
      <c r="H1038" s="11"/>
      <c r="I1038" s="11">
        <f t="shared" si="43"/>
        <v>2000000</v>
      </c>
    </row>
    <row r="1039" spans="1:9" x14ac:dyDescent="0.3">
      <c r="A1039" s="35">
        <v>31</v>
      </c>
      <c r="B1039" s="36" t="str">
        <f t="shared" si="44"/>
        <v>Sarto</v>
      </c>
      <c r="C1039" s="37">
        <f t="shared" si="42"/>
        <v>23982541</v>
      </c>
      <c r="D1039" s="11">
        <f t="shared" si="45"/>
        <v>719476.23</v>
      </c>
      <c r="E1039" s="11"/>
      <c r="F1039" s="11"/>
      <c r="G1039" s="11">
        <v>60000</v>
      </c>
      <c r="H1039" s="11"/>
      <c r="I1039" s="11">
        <f t="shared" si="43"/>
        <v>24042541</v>
      </c>
    </row>
    <row r="1040" spans="1:9" x14ac:dyDescent="0.3">
      <c r="A1040" s="35">
        <v>32</v>
      </c>
      <c r="B1040" s="36" t="str">
        <f t="shared" si="44"/>
        <v>Sholik 9</v>
      </c>
      <c r="C1040" s="37">
        <f t="shared" si="42"/>
        <v>6955645</v>
      </c>
      <c r="D1040" s="11">
        <f t="shared" si="45"/>
        <v>208669.35</v>
      </c>
      <c r="E1040" s="11"/>
      <c r="F1040" s="11"/>
      <c r="G1040" s="11">
        <v>426420</v>
      </c>
      <c r="H1040" s="11"/>
      <c r="I1040" s="11">
        <f t="shared" si="43"/>
        <v>7382065</v>
      </c>
    </row>
    <row r="1041" spans="1:9" x14ac:dyDescent="0.3">
      <c r="A1041" s="35">
        <v>33</v>
      </c>
      <c r="B1041" s="36" t="str">
        <f t="shared" si="44"/>
        <v>Siono</v>
      </c>
      <c r="C1041" s="37">
        <f t="shared" si="42"/>
        <v>9500000</v>
      </c>
      <c r="D1041" s="11">
        <f t="shared" si="45"/>
        <v>285000</v>
      </c>
      <c r="E1041" s="11"/>
      <c r="F1041" s="11"/>
      <c r="G1041" s="67">
        <v>202592</v>
      </c>
      <c r="H1041" s="11"/>
      <c r="I1041" s="11">
        <f t="shared" si="43"/>
        <v>9702592</v>
      </c>
    </row>
    <row r="1042" spans="1:9" x14ac:dyDescent="0.3">
      <c r="A1042" s="35">
        <v>34</v>
      </c>
      <c r="B1042" s="36" t="str">
        <f t="shared" si="44"/>
        <v>Sumadi</v>
      </c>
      <c r="C1042" s="37">
        <f t="shared" si="42"/>
        <v>5500000</v>
      </c>
      <c r="D1042" s="11">
        <f t="shared" si="45"/>
        <v>165000</v>
      </c>
      <c r="E1042" s="11"/>
      <c r="F1042" s="11"/>
      <c r="G1042" s="11"/>
      <c r="H1042" s="11"/>
      <c r="I1042" s="11">
        <f t="shared" si="43"/>
        <v>5500000</v>
      </c>
    </row>
    <row r="1043" spans="1:9" x14ac:dyDescent="0.3">
      <c r="A1043" s="35">
        <v>35</v>
      </c>
      <c r="B1043" s="36" t="str">
        <f t="shared" si="44"/>
        <v>Sumar</v>
      </c>
      <c r="C1043" s="37">
        <f t="shared" si="42"/>
        <v>14500000</v>
      </c>
      <c r="D1043" s="11">
        <f t="shared" si="45"/>
        <v>435000</v>
      </c>
      <c r="E1043" s="11"/>
      <c r="F1043" s="11"/>
      <c r="G1043" s="11"/>
      <c r="H1043" s="11"/>
      <c r="I1043" s="11">
        <f t="shared" si="43"/>
        <v>14500000</v>
      </c>
    </row>
    <row r="1044" spans="1:9" x14ac:dyDescent="0.3">
      <c r="A1044" s="35">
        <v>36</v>
      </c>
      <c r="B1044" s="36" t="str">
        <f t="shared" si="44"/>
        <v>Sunamah</v>
      </c>
      <c r="C1044" s="37">
        <f t="shared" si="42"/>
        <v>2500000</v>
      </c>
      <c r="D1044" s="11">
        <f t="shared" si="45"/>
        <v>75000</v>
      </c>
      <c r="E1044" s="11"/>
      <c r="F1044" s="11"/>
      <c r="G1044" s="11">
        <v>1500000</v>
      </c>
      <c r="H1044" s="11"/>
      <c r="I1044" s="11">
        <f t="shared" si="43"/>
        <v>4000000</v>
      </c>
    </row>
    <row r="1045" spans="1:9" x14ac:dyDescent="0.3">
      <c r="A1045" s="35">
        <v>37</v>
      </c>
      <c r="B1045" s="36" t="str">
        <f t="shared" si="44"/>
        <v>Supiani</v>
      </c>
      <c r="C1045" s="37">
        <f t="shared" si="42"/>
        <v>12000000</v>
      </c>
      <c r="D1045" s="11">
        <f t="shared" si="45"/>
        <v>360000</v>
      </c>
      <c r="E1045" s="11"/>
      <c r="F1045" s="11"/>
      <c r="G1045" s="11"/>
      <c r="H1045" s="11"/>
      <c r="I1045" s="11">
        <f t="shared" si="43"/>
        <v>12000000</v>
      </c>
    </row>
    <row r="1046" spans="1:9" x14ac:dyDescent="0.3">
      <c r="A1046" s="35">
        <v>38</v>
      </c>
      <c r="B1046" s="36" t="str">
        <f t="shared" si="44"/>
        <v>Supriaji</v>
      </c>
      <c r="C1046" s="37">
        <f t="shared" si="42"/>
        <v>7000000</v>
      </c>
      <c r="D1046" s="11">
        <f t="shared" si="45"/>
        <v>210000</v>
      </c>
      <c r="E1046" s="11"/>
      <c r="F1046" s="11"/>
      <c r="G1046" s="67"/>
      <c r="H1046" s="11"/>
      <c r="I1046" s="11">
        <f>C1046+E1046-F1046+G1046-H1046</f>
        <v>7000000</v>
      </c>
    </row>
    <row r="1047" spans="1:9" x14ac:dyDescent="0.3">
      <c r="A1047" s="35">
        <v>39</v>
      </c>
      <c r="B1047" s="36" t="str">
        <f t="shared" si="44"/>
        <v>Suwanan/Iksan</v>
      </c>
      <c r="C1047" s="37">
        <f t="shared" si="42"/>
        <v>1000000</v>
      </c>
      <c r="D1047" s="11">
        <f t="shared" si="45"/>
        <v>30000</v>
      </c>
      <c r="E1047" s="11"/>
      <c r="F1047" s="11"/>
      <c r="G1047" s="11">
        <v>500000</v>
      </c>
      <c r="H1047" s="11"/>
      <c r="I1047" s="11">
        <f t="shared" ref="I1047:I1070" si="46">C1047+E1047-F1047+G1047-H1047</f>
        <v>1500000</v>
      </c>
    </row>
    <row r="1048" spans="1:9" x14ac:dyDescent="0.3">
      <c r="A1048" s="35">
        <v>40</v>
      </c>
      <c r="B1048" s="36" t="str">
        <f t="shared" si="44"/>
        <v>Suwari</v>
      </c>
      <c r="C1048" s="37">
        <f t="shared" si="42"/>
        <v>8500000</v>
      </c>
      <c r="D1048" s="11">
        <f t="shared" si="45"/>
        <v>255000</v>
      </c>
      <c r="E1048" s="11"/>
      <c r="F1048" s="11"/>
      <c r="G1048" s="11">
        <v>1000000</v>
      </c>
      <c r="H1048" s="11"/>
      <c r="I1048" s="11">
        <f t="shared" si="46"/>
        <v>9500000</v>
      </c>
    </row>
    <row r="1049" spans="1:9" x14ac:dyDescent="0.3">
      <c r="A1049" s="35">
        <v>41</v>
      </c>
      <c r="B1049" s="36" t="str">
        <f t="shared" si="44"/>
        <v>Suyono 2</v>
      </c>
      <c r="C1049" s="37">
        <f t="shared" si="42"/>
        <v>2000000</v>
      </c>
      <c r="D1049" s="11">
        <f t="shared" si="45"/>
        <v>60000</v>
      </c>
      <c r="E1049" s="11"/>
      <c r="F1049" s="11"/>
      <c r="G1049" s="11"/>
      <c r="H1049" s="11"/>
      <c r="I1049" s="11">
        <f t="shared" si="46"/>
        <v>2000000</v>
      </c>
    </row>
    <row r="1050" spans="1:9" x14ac:dyDescent="0.3">
      <c r="A1050" s="35">
        <v>42</v>
      </c>
      <c r="B1050" s="36" t="str">
        <f t="shared" si="44"/>
        <v>Tisno</v>
      </c>
      <c r="C1050" s="37">
        <f t="shared" si="42"/>
        <v>4000000</v>
      </c>
      <c r="D1050" s="11">
        <f t="shared" si="45"/>
        <v>120000</v>
      </c>
      <c r="E1050" s="38"/>
      <c r="F1050" s="38"/>
      <c r="G1050" s="38"/>
      <c r="H1050" s="11"/>
      <c r="I1050" s="11">
        <f t="shared" si="46"/>
        <v>4000000</v>
      </c>
    </row>
    <row r="1051" spans="1:9" x14ac:dyDescent="0.3">
      <c r="A1051" s="35">
        <v>43</v>
      </c>
      <c r="B1051" s="36" t="str">
        <f t="shared" si="44"/>
        <v>Umi Kulsum</v>
      </c>
      <c r="C1051" s="37">
        <f t="shared" si="42"/>
        <v>6000000</v>
      </c>
      <c r="D1051" s="11">
        <f t="shared" si="45"/>
        <v>180000</v>
      </c>
      <c r="E1051" s="38"/>
      <c r="F1051" s="38"/>
      <c r="G1051" s="38"/>
      <c r="H1051" s="11"/>
      <c r="I1051" s="11">
        <f t="shared" si="46"/>
        <v>6000000</v>
      </c>
    </row>
    <row r="1052" spans="1:9" x14ac:dyDescent="0.3">
      <c r="A1052" s="35">
        <v>44</v>
      </c>
      <c r="B1052" s="36" t="str">
        <f t="shared" si="44"/>
        <v>Rofiq</v>
      </c>
      <c r="C1052" s="37">
        <f t="shared" si="42"/>
        <v>3000000</v>
      </c>
      <c r="D1052" s="11">
        <f t="shared" si="45"/>
        <v>90000</v>
      </c>
      <c r="E1052" s="38"/>
      <c r="F1052" s="38"/>
      <c r="G1052" s="38">
        <v>2000000</v>
      </c>
      <c r="H1052" s="11"/>
      <c r="I1052" s="11">
        <f t="shared" si="46"/>
        <v>5000000</v>
      </c>
    </row>
    <row r="1053" spans="1:9" x14ac:dyDescent="0.3">
      <c r="A1053" s="35">
        <v>45</v>
      </c>
      <c r="B1053" s="36" t="str">
        <f t="shared" si="44"/>
        <v>Siti Fatimah</v>
      </c>
      <c r="C1053" s="37">
        <f t="shared" si="42"/>
        <v>1000000</v>
      </c>
      <c r="D1053" s="11">
        <f t="shared" si="45"/>
        <v>30000</v>
      </c>
      <c r="E1053" s="11"/>
      <c r="F1053" s="11"/>
      <c r="G1053" s="11">
        <v>324450</v>
      </c>
      <c r="H1053" s="11"/>
      <c r="I1053" s="11">
        <f t="shared" si="46"/>
        <v>1324450</v>
      </c>
    </row>
    <row r="1054" spans="1:9" x14ac:dyDescent="0.3">
      <c r="A1054" s="39">
        <v>46</v>
      </c>
      <c r="B1054" s="36" t="str">
        <f t="shared" si="44"/>
        <v>Zumaroh</v>
      </c>
      <c r="C1054" s="37">
        <f t="shared" si="42"/>
        <v>7000000</v>
      </c>
      <c r="D1054" s="11">
        <f t="shared" si="45"/>
        <v>210000</v>
      </c>
      <c r="E1054" s="41"/>
      <c r="F1054" s="41"/>
      <c r="G1054" s="41"/>
      <c r="H1054" s="40"/>
      <c r="I1054" s="11">
        <f t="shared" si="46"/>
        <v>7000000</v>
      </c>
    </row>
    <row r="1055" spans="1:9" x14ac:dyDescent="0.3">
      <c r="A1055" s="35">
        <v>47</v>
      </c>
      <c r="B1055" s="36" t="str">
        <f t="shared" si="44"/>
        <v>Ning Husniah</v>
      </c>
      <c r="C1055" s="37">
        <f t="shared" si="42"/>
        <v>2500000</v>
      </c>
      <c r="D1055" s="11">
        <f t="shared" si="45"/>
        <v>75000</v>
      </c>
      <c r="E1055" s="38"/>
      <c r="F1055" s="38"/>
      <c r="G1055" s="38"/>
      <c r="H1055" s="11"/>
      <c r="I1055" s="11">
        <f t="shared" si="46"/>
        <v>2500000</v>
      </c>
    </row>
    <row r="1056" spans="1:9" x14ac:dyDescent="0.3">
      <c r="A1056" s="35">
        <v>48</v>
      </c>
      <c r="B1056" s="36" t="str">
        <f t="shared" si="44"/>
        <v>Lu'luur R</v>
      </c>
      <c r="C1056" s="37">
        <f t="shared" si="42"/>
        <v>1030000</v>
      </c>
      <c r="D1056" s="11">
        <f t="shared" si="45"/>
        <v>30900</v>
      </c>
      <c r="E1056" s="11"/>
      <c r="F1056" s="11"/>
      <c r="G1056" s="11"/>
      <c r="H1056" s="11"/>
      <c r="I1056" s="11">
        <f t="shared" si="46"/>
        <v>1030000</v>
      </c>
    </row>
    <row r="1057" spans="1:9" x14ac:dyDescent="0.3">
      <c r="A1057" s="35">
        <v>49</v>
      </c>
      <c r="B1057" s="36" t="str">
        <f t="shared" si="44"/>
        <v>Umar</v>
      </c>
      <c r="C1057" s="37">
        <f t="shared" si="42"/>
        <v>2000000</v>
      </c>
      <c r="D1057" s="11">
        <f t="shared" si="45"/>
        <v>60000</v>
      </c>
      <c r="E1057" s="11"/>
      <c r="F1057" s="11"/>
      <c r="G1057" s="11"/>
      <c r="H1057" s="11"/>
      <c r="I1057" s="11">
        <f t="shared" si="46"/>
        <v>2000000</v>
      </c>
    </row>
    <row r="1058" spans="1:9" x14ac:dyDescent="0.3">
      <c r="A1058" s="35">
        <v>50</v>
      </c>
      <c r="B1058" s="36" t="str">
        <f t="shared" si="44"/>
        <v>Ana/Bu Khoiri</v>
      </c>
      <c r="C1058" s="37">
        <f t="shared" si="42"/>
        <v>19128023</v>
      </c>
      <c r="D1058" s="11">
        <f t="shared" si="45"/>
        <v>573840.68999999994</v>
      </c>
      <c r="E1058" s="11"/>
      <c r="F1058" s="11"/>
      <c r="G1058" s="67">
        <v>46350</v>
      </c>
      <c r="H1058" s="11"/>
      <c r="I1058" s="11">
        <f t="shared" si="46"/>
        <v>19174373</v>
      </c>
    </row>
    <row r="1059" spans="1:9" x14ac:dyDescent="0.3">
      <c r="A1059" s="35">
        <v>51</v>
      </c>
      <c r="B1059" s="36" t="str">
        <f t="shared" si="44"/>
        <v>Anik Mahsunah W</v>
      </c>
      <c r="C1059" s="37">
        <f t="shared" si="42"/>
        <v>500000</v>
      </c>
      <c r="D1059" s="11">
        <f t="shared" si="45"/>
        <v>15000</v>
      </c>
      <c r="E1059" s="11"/>
      <c r="F1059" s="11"/>
      <c r="G1059" s="11"/>
      <c r="H1059" s="11"/>
      <c r="I1059" s="11">
        <f t="shared" si="46"/>
        <v>500000</v>
      </c>
    </row>
    <row r="1060" spans="1:9" x14ac:dyDescent="0.3">
      <c r="A1060" s="35">
        <v>52</v>
      </c>
      <c r="B1060" s="36" t="str">
        <f t="shared" si="44"/>
        <v>Fajrul Ummah</v>
      </c>
      <c r="C1060" s="37">
        <f t="shared" si="42"/>
        <v>12300000</v>
      </c>
      <c r="D1060" s="11">
        <f t="shared" si="45"/>
        <v>369000</v>
      </c>
      <c r="E1060" s="38"/>
      <c r="F1060" s="38"/>
      <c r="G1060" s="68">
        <v>639517</v>
      </c>
      <c r="H1060" s="11"/>
      <c r="I1060" s="11">
        <f t="shared" si="46"/>
        <v>12939517</v>
      </c>
    </row>
    <row r="1061" spans="1:9" x14ac:dyDescent="0.3">
      <c r="A1061" s="35">
        <v>53</v>
      </c>
      <c r="B1061" s="36" t="str">
        <f t="shared" si="44"/>
        <v>Imam Masrodin</v>
      </c>
      <c r="C1061" s="37">
        <f t="shared" si="42"/>
        <v>3000000</v>
      </c>
      <c r="D1061" s="11">
        <f t="shared" si="45"/>
        <v>90000</v>
      </c>
      <c r="E1061" s="38"/>
      <c r="F1061" s="38"/>
      <c r="G1061" s="38"/>
      <c r="H1061" s="11"/>
      <c r="I1061" s="11">
        <f t="shared" si="46"/>
        <v>3000000</v>
      </c>
    </row>
    <row r="1062" spans="1:9" x14ac:dyDescent="0.3">
      <c r="A1062" s="35">
        <v>54</v>
      </c>
      <c r="B1062" s="36" t="str">
        <f t="shared" si="44"/>
        <v>Muayanah</v>
      </c>
      <c r="C1062" s="37">
        <f t="shared" si="42"/>
        <v>6000000</v>
      </c>
      <c r="D1062" s="11">
        <f t="shared" si="45"/>
        <v>180000</v>
      </c>
      <c r="E1062" s="38"/>
      <c r="F1062" s="38"/>
      <c r="G1062" s="38">
        <v>5000000</v>
      </c>
      <c r="H1062" s="11"/>
      <c r="I1062" s="11">
        <f t="shared" si="46"/>
        <v>11000000</v>
      </c>
    </row>
    <row r="1063" spans="1:9" x14ac:dyDescent="0.3">
      <c r="A1063" s="35">
        <v>55</v>
      </c>
      <c r="B1063" s="36" t="str">
        <f t="shared" si="44"/>
        <v>Siswanto</v>
      </c>
      <c r="C1063" s="37">
        <f t="shared" si="42"/>
        <v>14500000</v>
      </c>
      <c r="D1063" s="11">
        <f t="shared" si="45"/>
        <v>435000</v>
      </c>
      <c r="E1063" s="38"/>
      <c r="F1063" s="38"/>
      <c r="G1063" s="38"/>
      <c r="H1063" s="11"/>
      <c r="I1063" s="11">
        <f t="shared" si="46"/>
        <v>14500000</v>
      </c>
    </row>
    <row r="1064" spans="1:9" x14ac:dyDescent="0.3">
      <c r="A1064" s="35">
        <v>56</v>
      </c>
      <c r="B1064" s="36" t="str">
        <f t="shared" si="44"/>
        <v>Bin Asiyah</v>
      </c>
      <c r="C1064" s="37">
        <f t="shared" si="42"/>
        <v>17000000</v>
      </c>
      <c r="D1064" s="11">
        <f t="shared" si="45"/>
        <v>510000</v>
      </c>
      <c r="E1064" s="38"/>
      <c r="F1064" s="38"/>
      <c r="G1064" s="38"/>
      <c r="H1064" s="11"/>
      <c r="I1064" s="11">
        <f t="shared" si="46"/>
        <v>17000000</v>
      </c>
    </row>
    <row r="1065" spans="1:9" x14ac:dyDescent="0.3">
      <c r="A1065" s="35">
        <v>57</v>
      </c>
      <c r="B1065" s="36" t="str">
        <f t="shared" si="44"/>
        <v>Tayem</v>
      </c>
      <c r="C1065" s="37">
        <f t="shared" si="42"/>
        <v>1000000</v>
      </c>
      <c r="D1065" s="11">
        <f t="shared" si="45"/>
        <v>30000</v>
      </c>
      <c r="E1065" s="38"/>
      <c r="F1065" s="38"/>
      <c r="G1065" s="68"/>
      <c r="H1065" s="11"/>
      <c r="I1065" s="11">
        <f t="shared" si="46"/>
        <v>1000000</v>
      </c>
    </row>
    <row r="1066" spans="1:9" x14ac:dyDescent="0.3">
      <c r="A1066" s="35">
        <v>58</v>
      </c>
      <c r="B1066" s="36" t="str">
        <f t="shared" si="44"/>
        <v>Sholahuddin Afif</v>
      </c>
      <c r="C1066" s="37">
        <f t="shared" si="42"/>
        <v>2000000</v>
      </c>
      <c r="D1066" s="11">
        <f t="shared" si="45"/>
        <v>60000</v>
      </c>
      <c r="E1066" s="38"/>
      <c r="F1066" s="38"/>
      <c r="G1066" s="38"/>
      <c r="H1066" s="38"/>
      <c r="I1066" s="11">
        <f t="shared" si="46"/>
        <v>2000000</v>
      </c>
    </row>
    <row r="1067" spans="1:9" x14ac:dyDescent="0.3">
      <c r="A1067" s="35">
        <v>59</v>
      </c>
      <c r="B1067" s="36" t="str">
        <f t="shared" si="44"/>
        <v>Masithah</v>
      </c>
      <c r="C1067" s="37">
        <f t="shared" si="42"/>
        <v>3000000</v>
      </c>
      <c r="D1067" s="11">
        <f t="shared" si="45"/>
        <v>90000</v>
      </c>
      <c r="E1067" s="11"/>
      <c r="F1067" s="11"/>
      <c r="G1067" s="11"/>
      <c r="H1067" s="11"/>
      <c r="I1067" s="11">
        <f t="shared" si="46"/>
        <v>3000000</v>
      </c>
    </row>
    <row r="1068" spans="1:9" x14ac:dyDescent="0.3">
      <c r="A1068" s="35">
        <v>60</v>
      </c>
      <c r="B1068" s="36" t="str">
        <f t="shared" si="44"/>
        <v>Rikayati</v>
      </c>
      <c r="C1068" s="37">
        <f t="shared" si="42"/>
        <v>1500000</v>
      </c>
      <c r="D1068" s="11">
        <f t="shared" si="45"/>
        <v>45000</v>
      </c>
      <c r="E1068" s="11"/>
      <c r="F1068" s="11"/>
      <c r="G1068" s="11"/>
      <c r="H1068" s="11"/>
      <c r="I1068" s="11">
        <f t="shared" si="46"/>
        <v>1500000</v>
      </c>
    </row>
    <row r="1069" spans="1:9" x14ac:dyDescent="0.3">
      <c r="A1069" s="35">
        <v>61</v>
      </c>
      <c r="B1069" s="36" t="str">
        <f t="shared" si="44"/>
        <v>Misbahuddin</v>
      </c>
      <c r="C1069" s="37">
        <f t="shared" si="42"/>
        <v>0</v>
      </c>
      <c r="D1069" s="11">
        <f t="shared" si="45"/>
        <v>0</v>
      </c>
      <c r="E1069" s="11"/>
      <c r="F1069" s="11"/>
      <c r="G1069" s="11"/>
      <c r="H1069" s="11"/>
      <c r="I1069" s="11">
        <f t="shared" si="46"/>
        <v>0</v>
      </c>
    </row>
    <row r="1070" spans="1:9" x14ac:dyDescent="0.3">
      <c r="A1070" s="35">
        <v>62</v>
      </c>
      <c r="B1070" s="36" t="str">
        <f t="shared" si="44"/>
        <v>Munisah</v>
      </c>
      <c r="C1070" s="37">
        <f t="shared" si="42"/>
        <v>0</v>
      </c>
      <c r="D1070" s="11">
        <f t="shared" si="45"/>
        <v>0</v>
      </c>
      <c r="E1070" s="38"/>
      <c r="F1070" s="11"/>
      <c r="G1070" s="11"/>
      <c r="H1070" s="11"/>
      <c r="I1070" s="11">
        <f t="shared" si="46"/>
        <v>0</v>
      </c>
    </row>
    <row r="1071" spans="1:9" ht="17.25" thickBot="1" x14ac:dyDescent="0.35">
      <c r="A1071" s="44" t="s">
        <v>13</v>
      </c>
      <c r="B1071" s="45"/>
      <c r="C1071" s="46">
        <f>SUM(C1009:C1070)</f>
        <v>338381509</v>
      </c>
      <c r="D1071" s="47">
        <f>SUM(D1009:D1070)</f>
        <v>10151445.27</v>
      </c>
      <c r="E1071" s="15">
        <f>SUM(E1009:E1070)</f>
        <v>0</v>
      </c>
      <c r="F1071" s="15">
        <f>SUM(F1009:F1070)</f>
        <v>0</v>
      </c>
      <c r="G1071" s="16">
        <f>SUM(G1010:G1070)</f>
        <v>14087329</v>
      </c>
      <c r="H1071" s="16">
        <f>SUM(H1009:H1070)</f>
        <v>171000</v>
      </c>
      <c r="I1071" s="17">
        <f>SUM(I1009:I1070)</f>
        <v>352297838</v>
      </c>
    </row>
    <row r="1072" spans="1:9" x14ac:dyDescent="0.3">
      <c r="C1072" s="49"/>
      <c r="D1072" s="50"/>
      <c r="E1072" s="50"/>
      <c r="F1072" s="50"/>
      <c r="I1072" s="19"/>
    </row>
    <row r="1073" spans="8:9" x14ac:dyDescent="0.3">
      <c r="H1073" s="2" t="s">
        <v>96</v>
      </c>
    </row>
    <row r="1077" spans="8:9" x14ac:dyDescent="0.3">
      <c r="H1077" s="51" t="s">
        <v>15</v>
      </c>
    </row>
    <row r="1080" spans="8:9" x14ac:dyDescent="0.3">
      <c r="I1080" s="2"/>
    </row>
    <row r="1081" spans="8:9" x14ac:dyDescent="0.3">
      <c r="I1081" s="2"/>
    </row>
    <row r="1082" spans="8:9" x14ac:dyDescent="0.3">
      <c r="I1082" s="2"/>
    </row>
    <row r="1083" spans="8:9" x14ac:dyDescent="0.3">
      <c r="I1083" s="2"/>
    </row>
    <row r="1084" spans="8:9" x14ac:dyDescent="0.3">
      <c r="I1084" s="2"/>
    </row>
    <row r="1085" spans="8:9" x14ac:dyDescent="0.3">
      <c r="I1085" s="2"/>
    </row>
    <row r="1086" spans="8:9" x14ac:dyDescent="0.3">
      <c r="I1086" s="2"/>
    </row>
    <row r="1087" spans="8:9" x14ac:dyDescent="0.3">
      <c r="I1087" s="2"/>
    </row>
    <row r="1088" spans="8:9" x14ac:dyDescent="0.3">
      <c r="I1088" s="2"/>
    </row>
    <row r="1089" spans="9:9" x14ac:dyDescent="0.3">
      <c r="I1089" s="2"/>
    </row>
    <row r="1090" spans="9:9" x14ac:dyDescent="0.3">
      <c r="I1090" s="2"/>
    </row>
    <row r="1091" spans="9:9" x14ac:dyDescent="0.3">
      <c r="I1091" s="2"/>
    </row>
    <row r="1116" spans="1:9" ht="20.25" x14ac:dyDescent="0.3">
      <c r="A1116" s="52" t="s">
        <v>97</v>
      </c>
      <c r="B1116" s="52"/>
      <c r="C1116" s="52"/>
      <c r="D1116" s="52"/>
      <c r="E1116" s="52"/>
      <c r="F1116" s="52"/>
      <c r="G1116" s="52"/>
      <c r="H1116" s="52"/>
      <c r="I1116" s="52"/>
    </row>
    <row r="1118" spans="1:9" ht="49.5" x14ac:dyDescent="0.3">
      <c r="A1118" s="53" t="s">
        <v>1</v>
      </c>
      <c r="B1118" s="53" t="s">
        <v>2</v>
      </c>
      <c r="C1118" s="53" t="s">
        <v>3</v>
      </c>
      <c r="D1118" s="55" t="s">
        <v>4</v>
      </c>
      <c r="E1118" s="55" t="s">
        <v>5</v>
      </c>
      <c r="F1118" s="55" t="s">
        <v>6</v>
      </c>
      <c r="G1118" s="55" t="s">
        <v>7</v>
      </c>
      <c r="H1118" s="55" t="s">
        <v>8</v>
      </c>
      <c r="I1118" s="5" t="s">
        <v>17</v>
      </c>
    </row>
    <row r="1119" spans="1:9" x14ac:dyDescent="0.3">
      <c r="A1119" s="56"/>
      <c r="B1119" s="56"/>
      <c r="C1119" s="56"/>
      <c r="D1119" s="58">
        <v>45903</v>
      </c>
      <c r="E1119" s="58">
        <f>D1119</f>
        <v>45903</v>
      </c>
      <c r="F1119" s="58">
        <f>E1119</f>
        <v>45903</v>
      </c>
      <c r="G1119" s="58">
        <f>F1119</f>
        <v>45903</v>
      </c>
      <c r="H1119" s="58">
        <f>G1119</f>
        <v>45903</v>
      </c>
      <c r="I1119" s="58">
        <f>H1119</f>
        <v>45903</v>
      </c>
    </row>
    <row r="1120" spans="1:9" x14ac:dyDescent="0.3">
      <c r="A1120" s="35">
        <v>1</v>
      </c>
      <c r="B1120" s="36" t="str">
        <f>B1009</f>
        <v>Abd Rochman 2</v>
      </c>
      <c r="C1120" s="37">
        <f>I1009</f>
        <v>13500000</v>
      </c>
      <c r="D1120" s="11">
        <f>C1120*3%</f>
        <v>405000</v>
      </c>
      <c r="E1120" s="11"/>
      <c r="F1120" s="11"/>
      <c r="G1120" s="11"/>
      <c r="H1120" s="11"/>
      <c r="I1120" s="11">
        <f t="shared" ref="I1120:I1156" si="47">C1120+E1120-F1120+G1120-H1120</f>
        <v>13500000</v>
      </c>
    </row>
    <row r="1121" spans="1:9" x14ac:dyDescent="0.3">
      <c r="A1121" s="35">
        <v>2</v>
      </c>
      <c r="B1121" s="36" t="str">
        <f t="shared" ref="B1121:B1181" si="48">B1010</f>
        <v>Ali Muttaqin</v>
      </c>
      <c r="C1121" s="37">
        <f t="shared" ref="C1121:C1181" si="49">I1010</f>
        <v>5000000</v>
      </c>
      <c r="D1121" s="11">
        <f t="shared" ref="D1121:D1181" si="50">C1121*3%</f>
        <v>150000</v>
      </c>
      <c r="E1121" s="11"/>
      <c r="F1121" s="11"/>
      <c r="G1121" s="11"/>
      <c r="H1121" s="11"/>
      <c r="I1121" s="11">
        <f t="shared" si="47"/>
        <v>5000000</v>
      </c>
    </row>
    <row r="1122" spans="1:9" x14ac:dyDescent="0.3">
      <c r="A1122" s="35">
        <v>3</v>
      </c>
      <c r="B1122" s="36" t="str">
        <f t="shared" si="48"/>
        <v>Amnan</v>
      </c>
      <c r="C1122" s="37">
        <f t="shared" si="49"/>
        <v>10100000</v>
      </c>
      <c r="D1122" s="11">
        <f t="shared" si="50"/>
        <v>303000</v>
      </c>
      <c r="E1122" s="11"/>
      <c r="F1122" s="11"/>
      <c r="G1122" s="11"/>
      <c r="H1122" s="11"/>
      <c r="I1122" s="11">
        <f t="shared" si="47"/>
        <v>10100000</v>
      </c>
    </row>
    <row r="1123" spans="1:9" x14ac:dyDescent="0.3">
      <c r="A1123" s="35">
        <v>4</v>
      </c>
      <c r="B1123" s="36" t="str">
        <f t="shared" si="48"/>
        <v>Bambang</v>
      </c>
      <c r="C1123" s="37">
        <f t="shared" si="49"/>
        <v>7800000</v>
      </c>
      <c r="D1123" s="11">
        <f t="shared" si="50"/>
        <v>234000</v>
      </c>
      <c r="E1123" s="11"/>
      <c r="F1123" s="11"/>
      <c r="G1123" s="11"/>
      <c r="H1123" s="11"/>
      <c r="I1123" s="11">
        <f t="shared" si="47"/>
        <v>7800000</v>
      </c>
    </row>
    <row r="1124" spans="1:9" x14ac:dyDescent="0.3">
      <c r="A1124" s="35">
        <v>5</v>
      </c>
      <c r="B1124" s="36" t="str">
        <f t="shared" si="48"/>
        <v>Erham</v>
      </c>
      <c r="C1124" s="37">
        <f t="shared" si="49"/>
        <v>5300000</v>
      </c>
      <c r="D1124" s="11">
        <f t="shared" si="50"/>
        <v>159000</v>
      </c>
      <c r="E1124" s="11"/>
      <c r="F1124" s="11"/>
      <c r="G1124" s="11"/>
      <c r="H1124" s="11"/>
      <c r="I1124" s="11">
        <f t="shared" si="47"/>
        <v>5300000</v>
      </c>
    </row>
    <row r="1125" spans="1:9" x14ac:dyDescent="0.3">
      <c r="A1125" s="35">
        <v>6</v>
      </c>
      <c r="B1125" s="36" t="str">
        <f t="shared" si="48"/>
        <v>Estuningati</v>
      </c>
      <c r="C1125" s="37">
        <f t="shared" si="49"/>
        <v>4000000</v>
      </c>
      <c r="D1125" s="11">
        <f t="shared" si="50"/>
        <v>120000</v>
      </c>
      <c r="E1125" s="11"/>
      <c r="F1125" s="11"/>
      <c r="G1125" s="11"/>
      <c r="H1125" s="11"/>
      <c r="I1125" s="11">
        <f t="shared" si="47"/>
        <v>4000000</v>
      </c>
    </row>
    <row r="1126" spans="1:9" x14ac:dyDescent="0.3">
      <c r="A1126" s="35">
        <v>7</v>
      </c>
      <c r="B1126" s="36" t="str">
        <f t="shared" si="48"/>
        <v>Faisal (Subarin)</v>
      </c>
      <c r="C1126" s="37">
        <f t="shared" si="49"/>
        <v>4240000</v>
      </c>
      <c r="D1126" s="11">
        <f t="shared" si="50"/>
        <v>127200</v>
      </c>
      <c r="E1126" s="11"/>
      <c r="F1126" s="11"/>
      <c r="G1126" s="11">
        <v>210000</v>
      </c>
      <c r="H1126" s="11"/>
      <c r="I1126" s="11">
        <f t="shared" si="47"/>
        <v>4450000</v>
      </c>
    </row>
    <row r="1127" spans="1:9" x14ac:dyDescent="0.3">
      <c r="A1127" s="35">
        <v>8</v>
      </c>
      <c r="B1127" s="36" t="str">
        <f t="shared" si="48"/>
        <v>H. Nasikin</v>
      </c>
      <c r="C1127" s="37">
        <f t="shared" si="49"/>
        <v>2000000</v>
      </c>
      <c r="D1127" s="11">
        <f t="shared" si="50"/>
        <v>60000</v>
      </c>
      <c r="E1127" s="11"/>
      <c r="F1127" s="11"/>
      <c r="G1127" s="11"/>
      <c r="H1127" s="11"/>
      <c r="I1127" s="11">
        <f t="shared" si="47"/>
        <v>2000000</v>
      </c>
    </row>
    <row r="1128" spans="1:9" x14ac:dyDescent="0.3">
      <c r="A1128" s="35">
        <v>9</v>
      </c>
      <c r="B1128" s="36" t="str">
        <f t="shared" si="48"/>
        <v>H. Shonhaji</v>
      </c>
      <c r="C1128" s="37">
        <f t="shared" si="49"/>
        <v>1000000</v>
      </c>
      <c r="D1128" s="11">
        <f t="shared" si="50"/>
        <v>30000</v>
      </c>
      <c r="E1128" s="11"/>
      <c r="F1128" s="11"/>
      <c r="G1128" s="11"/>
      <c r="H1128" s="11"/>
      <c r="I1128" s="11">
        <f t="shared" si="47"/>
        <v>1000000</v>
      </c>
    </row>
    <row r="1129" spans="1:9" x14ac:dyDescent="0.3">
      <c r="A1129" s="35">
        <v>10</v>
      </c>
      <c r="B1129" s="36" t="str">
        <f t="shared" si="48"/>
        <v>Hanafi</v>
      </c>
      <c r="C1129" s="37">
        <f t="shared" si="49"/>
        <v>2000000</v>
      </c>
      <c r="D1129" s="11">
        <f t="shared" si="50"/>
        <v>60000</v>
      </c>
      <c r="E1129" s="11"/>
      <c r="F1129" s="11"/>
      <c r="G1129" s="11"/>
      <c r="H1129" s="11"/>
      <c r="I1129" s="11">
        <f t="shared" si="47"/>
        <v>2000000</v>
      </c>
    </row>
    <row r="1130" spans="1:9" x14ac:dyDescent="0.3">
      <c r="A1130" s="35">
        <v>11</v>
      </c>
      <c r="B1130" s="36" t="str">
        <f t="shared" si="48"/>
        <v>Hidayat</v>
      </c>
      <c r="C1130" s="37">
        <f t="shared" si="49"/>
        <v>3599000</v>
      </c>
      <c r="D1130" s="11">
        <f t="shared" si="50"/>
        <v>107970</v>
      </c>
      <c r="E1130" s="11"/>
      <c r="F1130" s="11"/>
      <c r="G1130" s="11"/>
      <c r="H1130" s="11"/>
      <c r="I1130" s="11">
        <f t="shared" si="47"/>
        <v>3599000</v>
      </c>
    </row>
    <row r="1131" spans="1:9" x14ac:dyDescent="0.3">
      <c r="A1131" s="35">
        <v>12</v>
      </c>
      <c r="B1131" s="36" t="str">
        <f t="shared" si="48"/>
        <v>Ika Tartila</v>
      </c>
      <c r="C1131" s="37">
        <f t="shared" si="49"/>
        <v>3000000</v>
      </c>
      <c r="D1131" s="11">
        <f t="shared" si="50"/>
        <v>90000</v>
      </c>
      <c r="E1131" s="11"/>
      <c r="F1131" s="11"/>
      <c r="G1131" s="11">
        <v>90000</v>
      </c>
      <c r="H1131" s="11"/>
      <c r="I1131" s="11">
        <f t="shared" si="47"/>
        <v>3090000</v>
      </c>
    </row>
    <row r="1132" spans="1:9" x14ac:dyDescent="0.3">
      <c r="A1132" s="35">
        <v>13</v>
      </c>
      <c r="B1132" s="36" t="str">
        <f t="shared" si="48"/>
        <v>Jumiah 2</v>
      </c>
      <c r="C1132" s="37">
        <f t="shared" si="49"/>
        <v>7100000</v>
      </c>
      <c r="D1132" s="11">
        <f t="shared" si="50"/>
        <v>213000</v>
      </c>
      <c r="E1132" s="11"/>
      <c r="F1132" s="11"/>
      <c r="G1132" s="11"/>
      <c r="H1132" s="11"/>
      <c r="I1132" s="11">
        <f t="shared" si="47"/>
        <v>7100000</v>
      </c>
    </row>
    <row r="1133" spans="1:9" x14ac:dyDescent="0.3">
      <c r="A1133" s="35">
        <v>14</v>
      </c>
      <c r="B1133" s="36" t="str">
        <f t="shared" si="48"/>
        <v>Kamari</v>
      </c>
      <c r="C1133" s="37">
        <f t="shared" si="49"/>
        <v>3000000</v>
      </c>
      <c r="D1133" s="11">
        <f t="shared" si="50"/>
        <v>90000</v>
      </c>
      <c r="E1133" s="11"/>
      <c r="F1133" s="11"/>
      <c r="G1133" s="11"/>
      <c r="H1133" s="11"/>
      <c r="I1133" s="11">
        <f t="shared" si="47"/>
        <v>3000000</v>
      </c>
    </row>
    <row r="1134" spans="1:9" x14ac:dyDescent="0.3">
      <c r="A1134" s="35">
        <v>15</v>
      </c>
      <c r="B1134" s="36" t="str">
        <f t="shared" si="48"/>
        <v xml:space="preserve">Kolidi </v>
      </c>
      <c r="C1134" s="37">
        <f t="shared" si="49"/>
        <v>1500000</v>
      </c>
      <c r="D1134" s="11">
        <f t="shared" si="50"/>
        <v>45000</v>
      </c>
      <c r="E1134" s="11"/>
      <c r="F1134" s="11"/>
      <c r="G1134" s="11"/>
      <c r="H1134" s="11"/>
      <c r="I1134" s="11">
        <f t="shared" si="47"/>
        <v>1500000</v>
      </c>
    </row>
    <row r="1135" spans="1:9" x14ac:dyDescent="0.3">
      <c r="A1135" s="35">
        <v>16</v>
      </c>
      <c r="B1135" s="36" t="str">
        <f t="shared" si="48"/>
        <v>Kuspandi</v>
      </c>
      <c r="C1135" s="37">
        <f t="shared" si="49"/>
        <v>500000</v>
      </c>
      <c r="D1135" s="11">
        <f t="shared" si="50"/>
        <v>15000</v>
      </c>
      <c r="E1135" s="11"/>
      <c r="F1135" s="11"/>
      <c r="G1135" s="11"/>
      <c r="H1135" s="11"/>
      <c r="I1135" s="11">
        <f t="shared" si="47"/>
        <v>500000</v>
      </c>
    </row>
    <row r="1136" spans="1:9" x14ac:dyDescent="0.3">
      <c r="A1136" s="35">
        <v>17</v>
      </c>
      <c r="B1136" s="36" t="str">
        <f t="shared" si="48"/>
        <v>Malikan</v>
      </c>
      <c r="C1136" s="37">
        <f t="shared" si="49"/>
        <v>11000000</v>
      </c>
      <c r="D1136" s="11">
        <f t="shared" si="50"/>
        <v>330000</v>
      </c>
      <c r="E1136" s="11"/>
      <c r="F1136" s="11"/>
      <c r="G1136" s="11"/>
      <c r="H1136" s="11"/>
      <c r="I1136" s="11">
        <f t="shared" si="47"/>
        <v>11000000</v>
      </c>
    </row>
    <row r="1137" spans="1:9" x14ac:dyDescent="0.3">
      <c r="A1137" s="35">
        <v>18</v>
      </c>
      <c r="B1137" s="36" t="str">
        <f t="shared" si="48"/>
        <v xml:space="preserve">Mardiyah </v>
      </c>
      <c r="C1137" s="37">
        <f t="shared" si="49"/>
        <v>2000000</v>
      </c>
      <c r="D1137" s="11">
        <f t="shared" si="50"/>
        <v>60000</v>
      </c>
      <c r="E1137" s="11"/>
      <c r="F1137" s="11"/>
      <c r="G1137" s="11"/>
      <c r="H1137" s="11"/>
      <c r="I1137" s="11">
        <f t="shared" si="47"/>
        <v>2000000</v>
      </c>
    </row>
    <row r="1138" spans="1:9" x14ac:dyDescent="0.3">
      <c r="A1138" s="35">
        <v>19</v>
      </c>
      <c r="B1138" s="36" t="str">
        <f t="shared" si="48"/>
        <v>Matakrip</v>
      </c>
      <c r="C1138" s="37">
        <f t="shared" si="49"/>
        <v>3900000</v>
      </c>
      <c r="D1138" s="11">
        <f t="shared" si="50"/>
        <v>117000</v>
      </c>
      <c r="E1138" s="11"/>
      <c r="F1138" s="11"/>
      <c r="G1138" s="11"/>
      <c r="H1138" s="11"/>
      <c r="I1138" s="11">
        <f t="shared" si="47"/>
        <v>3900000</v>
      </c>
    </row>
    <row r="1139" spans="1:9" x14ac:dyDescent="0.3">
      <c r="A1139" s="35">
        <v>20</v>
      </c>
      <c r="B1139" s="36" t="str">
        <f t="shared" si="48"/>
        <v>Matelan (wir)</v>
      </c>
      <c r="C1139" s="37">
        <f t="shared" si="49"/>
        <v>4117000</v>
      </c>
      <c r="D1139" s="11">
        <f t="shared" si="50"/>
        <v>123510</v>
      </c>
      <c r="E1139" s="11"/>
      <c r="F1139" s="11"/>
      <c r="G1139" s="11"/>
      <c r="H1139" s="11">
        <v>117000</v>
      </c>
      <c r="I1139" s="11">
        <f t="shared" si="47"/>
        <v>4000000</v>
      </c>
    </row>
    <row r="1140" spans="1:9" x14ac:dyDescent="0.3">
      <c r="A1140" s="35">
        <v>21</v>
      </c>
      <c r="B1140" s="36" t="str">
        <f t="shared" si="48"/>
        <v>Mathoha</v>
      </c>
      <c r="C1140" s="37">
        <f t="shared" si="49"/>
        <v>1000000</v>
      </c>
      <c r="D1140" s="11">
        <f t="shared" si="50"/>
        <v>30000</v>
      </c>
      <c r="E1140" s="11"/>
      <c r="F1140" s="11"/>
      <c r="G1140" s="11">
        <v>538000</v>
      </c>
      <c r="H1140" s="11"/>
      <c r="I1140" s="11">
        <f t="shared" si="47"/>
        <v>1538000</v>
      </c>
    </row>
    <row r="1141" spans="1:9" x14ac:dyDescent="0.3">
      <c r="A1141" s="35">
        <v>22</v>
      </c>
      <c r="B1141" s="36" t="str">
        <f t="shared" si="48"/>
        <v>Matkasan</v>
      </c>
      <c r="C1141" s="37">
        <f t="shared" si="49"/>
        <v>7500000</v>
      </c>
      <c r="D1141" s="11">
        <f t="shared" si="50"/>
        <v>225000</v>
      </c>
      <c r="E1141" s="11"/>
      <c r="F1141" s="11"/>
      <c r="G1141" s="11"/>
      <c r="H1141" s="11"/>
      <c r="I1141" s="11">
        <f t="shared" si="47"/>
        <v>7500000</v>
      </c>
    </row>
    <row r="1142" spans="1:9" x14ac:dyDescent="0.3">
      <c r="A1142" s="35">
        <v>23</v>
      </c>
      <c r="B1142" s="36" t="str">
        <f t="shared" si="48"/>
        <v>Umi Nadhiroh</v>
      </c>
      <c r="C1142" s="37">
        <f t="shared" si="49"/>
        <v>7700000</v>
      </c>
      <c r="D1142" s="11">
        <f t="shared" si="50"/>
        <v>231000</v>
      </c>
      <c r="E1142" s="11"/>
      <c r="F1142" s="11"/>
      <c r="G1142" s="11"/>
      <c r="H1142" s="11"/>
      <c r="I1142" s="11">
        <f t="shared" si="47"/>
        <v>7700000</v>
      </c>
    </row>
    <row r="1143" spans="1:9" x14ac:dyDescent="0.3">
      <c r="A1143" s="35">
        <v>24</v>
      </c>
      <c r="B1143" s="36" t="str">
        <f t="shared" si="48"/>
        <v>Mi'an</v>
      </c>
      <c r="C1143" s="37">
        <f t="shared" si="49"/>
        <v>4120000</v>
      </c>
      <c r="D1143" s="11">
        <f t="shared" si="50"/>
        <v>123600</v>
      </c>
      <c r="E1143" s="11"/>
      <c r="F1143" s="11"/>
      <c r="G1143" s="11">
        <v>171000</v>
      </c>
      <c r="H1143" s="11"/>
      <c r="I1143" s="11">
        <f t="shared" si="47"/>
        <v>4291000</v>
      </c>
    </row>
    <row r="1144" spans="1:9" x14ac:dyDescent="0.3">
      <c r="A1144" s="35">
        <v>25</v>
      </c>
      <c r="B1144" s="36" t="str">
        <f t="shared" si="48"/>
        <v>Mu'minin</v>
      </c>
      <c r="C1144" s="37">
        <f t="shared" si="49"/>
        <v>3300000</v>
      </c>
      <c r="D1144" s="11">
        <f t="shared" si="50"/>
        <v>99000</v>
      </c>
      <c r="E1144" s="11"/>
      <c r="F1144" s="11"/>
      <c r="G1144" s="11"/>
      <c r="H1144" s="11"/>
      <c r="I1144" s="11">
        <f t="shared" si="47"/>
        <v>3300000</v>
      </c>
    </row>
    <row r="1145" spans="1:9" x14ac:dyDescent="0.3">
      <c r="A1145" s="35">
        <v>26</v>
      </c>
      <c r="B1145" s="36" t="str">
        <f t="shared" si="48"/>
        <v>Munawar</v>
      </c>
      <c r="C1145" s="37">
        <f t="shared" si="49"/>
        <v>1000000</v>
      </c>
      <c r="D1145" s="11">
        <f t="shared" si="50"/>
        <v>30000</v>
      </c>
      <c r="E1145" s="11"/>
      <c r="F1145" s="11"/>
      <c r="G1145" s="11"/>
      <c r="H1145" s="11"/>
      <c r="I1145" s="11">
        <f t="shared" si="47"/>
        <v>1000000</v>
      </c>
    </row>
    <row r="1146" spans="1:9" x14ac:dyDescent="0.3">
      <c r="A1146" s="35">
        <v>27</v>
      </c>
      <c r="B1146" s="36" t="str">
        <f t="shared" si="48"/>
        <v>Muslikatin</v>
      </c>
      <c r="C1146" s="37">
        <f t="shared" si="49"/>
        <v>2000000</v>
      </c>
      <c r="D1146" s="11">
        <f t="shared" si="50"/>
        <v>60000</v>
      </c>
      <c r="E1146" s="11"/>
      <c r="F1146" s="11"/>
      <c r="G1146" s="11"/>
      <c r="H1146" s="11"/>
      <c r="I1146" s="11">
        <f t="shared" si="47"/>
        <v>2000000</v>
      </c>
    </row>
    <row r="1147" spans="1:9" x14ac:dyDescent="0.3">
      <c r="A1147" s="35">
        <v>28</v>
      </c>
      <c r="B1147" s="36" t="str">
        <f t="shared" si="48"/>
        <v>Nurhadi</v>
      </c>
      <c r="C1147" s="37">
        <f t="shared" si="49"/>
        <v>7426300</v>
      </c>
      <c r="D1147" s="11">
        <f t="shared" si="50"/>
        <v>222789</v>
      </c>
      <c r="E1147" s="11"/>
      <c r="F1147" s="11"/>
      <c r="G1147" s="11"/>
      <c r="H1147" s="11"/>
      <c r="I1147" s="11">
        <f t="shared" si="47"/>
        <v>7426300</v>
      </c>
    </row>
    <row r="1148" spans="1:9" x14ac:dyDescent="0.3">
      <c r="A1148" s="35">
        <v>29</v>
      </c>
      <c r="B1148" s="36" t="str">
        <f t="shared" si="48"/>
        <v>Siti Nurmahmudah</v>
      </c>
      <c r="C1148" s="37">
        <f t="shared" si="49"/>
        <v>10000000</v>
      </c>
      <c r="D1148" s="11">
        <f t="shared" si="50"/>
        <v>300000</v>
      </c>
      <c r="E1148" s="11"/>
      <c r="F1148" s="11"/>
      <c r="G1148" s="11"/>
      <c r="H1148" s="11"/>
      <c r="I1148" s="11">
        <f t="shared" si="47"/>
        <v>10000000</v>
      </c>
    </row>
    <row r="1149" spans="1:9" x14ac:dyDescent="0.3">
      <c r="A1149" s="35">
        <v>30</v>
      </c>
      <c r="B1149" s="36" t="str">
        <f t="shared" si="48"/>
        <v>Saeman</v>
      </c>
      <c r="C1149" s="37">
        <f t="shared" si="49"/>
        <v>2000000</v>
      </c>
      <c r="D1149" s="11">
        <f t="shared" si="50"/>
        <v>60000</v>
      </c>
      <c r="E1149" s="11"/>
      <c r="F1149" s="11"/>
      <c r="G1149" s="11"/>
      <c r="H1149" s="11"/>
      <c r="I1149" s="11">
        <f t="shared" si="47"/>
        <v>2000000</v>
      </c>
    </row>
    <row r="1150" spans="1:9" x14ac:dyDescent="0.3">
      <c r="A1150" s="35">
        <v>31</v>
      </c>
      <c r="B1150" s="36" t="str">
        <f t="shared" si="48"/>
        <v>Sarto</v>
      </c>
      <c r="C1150" s="37">
        <f t="shared" si="49"/>
        <v>24042541</v>
      </c>
      <c r="D1150" s="11">
        <f t="shared" si="50"/>
        <v>721276.23</v>
      </c>
      <c r="E1150" s="11"/>
      <c r="F1150" s="11"/>
      <c r="G1150" s="11"/>
      <c r="H1150" s="11">
        <v>60000</v>
      </c>
      <c r="I1150" s="11">
        <f t="shared" si="47"/>
        <v>23982541</v>
      </c>
    </row>
    <row r="1151" spans="1:9" x14ac:dyDescent="0.3">
      <c r="A1151" s="35">
        <v>32</v>
      </c>
      <c r="B1151" s="36" t="str">
        <f t="shared" si="48"/>
        <v>Sholik 9</v>
      </c>
      <c r="C1151" s="37">
        <f t="shared" si="49"/>
        <v>7382065</v>
      </c>
      <c r="D1151" s="11">
        <f t="shared" si="50"/>
        <v>221461.94999999998</v>
      </c>
      <c r="E1151" s="11"/>
      <c r="F1151" s="11"/>
      <c r="G1151" s="11">
        <v>439213</v>
      </c>
      <c r="H1151" s="11"/>
      <c r="I1151" s="11">
        <f t="shared" si="47"/>
        <v>7821278</v>
      </c>
    </row>
    <row r="1152" spans="1:9" x14ac:dyDescent="0.3">
      <c r="A1152" s="35">
        <v>33</v>
      </c>
      <c r="B1152" s="36" t="str">
        <f t="shared" si="48"/>
        <v>Siono</v>
      </c>
      <c r="C1152" s="37">
        <f t="shared" si="49"/>
        <v>9702592</v>
      </c>
      <c r="D1152" s="11">
        <f t="shared" si="50"/>
        <v>291077.76000000001</v>
      </c>
      <c r="E1152" s="11"/>
      <c r="F1152" s="11"/>
      <c r="G1152" s="11">
        <v>208669</v>
      </c>
      <c r="H1152" s="11"/>
      <c r="I1152" s="11">
        <f t="shared" si="47"/>
        <v>9911261</v>
      </c>
    </row>
    <row r="1153" spans="1:9" x14ac:dyDescent="0.3">
      <c r="A1153" s="35">
        <v>34</v>
      </c>
      <c r="B1153" s="36" t="str">
        <f t="shared" si="48"/>
        <v>Sumadi</v>
      </c>
      <c r="C1153" s="37">
        <f t="shared" si="49"/>
        <v>5500000</v>
      </c>
      <c r="D1153" s="11">
        <f t="shared" si="50"/>
        <v>165000</v>
      </c>
      <c r="E1153" s="11"/>
      <c r="F1153" s="11"/>
      <c r="G1153" s="11"/>
      <c r="H1153" s="11"/>
      <c r="I1153" s="11">
        <f t="shared" si="47"/>
        <v>5500000</v>
      </c>
    </row>
    <row r="1154" spans="1:9" x14ac:dyDescent="0.3">
      <c r="A1154" s="35">
        <v>35</v>
      </c>
      <c r="B1154" s="36" t="str">
        <f t="shared" si="48"/>
        <v>Sumar</v>
      </c>
      <c r="C1154" s="37">
        <f t="shared" si="49"/>
        <v>14500000</v>
      </c>
      <c r="D1154" s="11">
        <f t="shared" si="50"/>
        <v>435000</v>
      </c>
      <c r="E1154" s="11"/>
      <c r="F1154" s="11"/>
      <c r="G1154" s="11"/>
      <c r="H1154" s="11"/>
      <c r="I1154" s="11">
        <f t="shared" si="47"/>
        <v>14500000</v>
      </c>
    </row>
    <row r="1155" spans="1:9" x14ac:dyDescent="0.3">
      <c r="A1155" s="35">
        <v>36</v>
      </c>
      <c r="B1155" s="36" t="str">
        <f t="shared" si="48"/>
        <v>Sunamah</v>
      </c>
      <c r="C1155" s="37">
        <f t="shared" si="49"/>
        <v>4000000</v>
      </c>
      <c r="D1155" s="11">
        <f t="shared" si="50"/>
        <v>120000</v>
      </c>
      <c r="E1155" s="11"/>
      <c r="F1155" s="11"/>
      <c r="G1155" s="11">
        <v>4000000</v>
      </c>
      <c r="H1155" s="11"/>
      <c r="I1155" s="11">
        <f t="shared" si="47"/>
        <v>8000000</v>
      </c>
    </row>
    <row r="1156" spans="1:9" x14ac:dyDescent="0.3">
      <c r="A1156" s="35">
        <v>37</v>
      </c>
      <c r="B1156" s="36" t="str">
        <f t="shared" si="48"/>
        <v>Supiani</v>
      </c>
      <c r="C1156" s="37">
        <f t="shared" si="49"/>
        <v>12000000</v>
      </c>
      <c r="D1156" s="11">
        <f t="shared" si="50"/>
        <v>360000</v>
      </c>
      <c r="E1156" s="11"/>
      <c r="F1156" s="11"/>
      <c r="G1156" s="11"/>
      <c r="H1156" s="11"/>
      <c r="I1156" s="11">
        <f t="shared" si="47"/>
        <v>12000000</v>
      </c>
    </row>
    <row r="1157" spans="1:9" x14ac:dyDescent="0.3">
      <c r="A1157" s="35">
        <v>38</v>
      </c>
      <c r="B1157" s="36" t="str">
        <f t="shared" si="48"/>
        <v>Supriaji</v>
      </c>
      <c r="C1157" s="37">
        <f t="shared" si="49"/>
        <v>7000000</v>
      </c>
      <c r="D1157" s="11">
        <f t="shared" si="50"/>
        <v>210000</v>
      </c>
      <c r="E1157" s="11"/>
      <c r="F1157" s="11"/>
      <c r="G1157" s="11">
        <v>330000</v>
      </c>
      <c r="H1157" s="11"/>
      <c r="I1157" s="11">
        <f>C1157+E1157-F1157+G1157-H1157</f>
        <v>7330000</v>
      </c>
    </row>
    <row r="1158" spans="1:9" x14ac:dyDescent="0.3">
      <c r="A1158" s="35">
        <v>39</v>
      </c>
      <c r="B1158" s="36" t="str">
        <f t="shared" si="48"/>
        <v>Suwanan/Iksan</v>
      </c>
      <c r="C1158" s="37">
        <f t="shared" si="49"/>
        <v>1500000</v>
      </c>
      <c r="D1158" s="11">
        <f t="shared" si="50"/>
        <v>45000</v>
      </c>
      <c r="E1158" s="11"/>
      <c r="F1158" s="11"/>
      <c r="G1158" s="11"/>
      <c r="H1158" s="11"/>
      <c r="I1158" s="11">
        <f t="shared" ref="I1158:I1182" si="51">C1158+E1158-F1158+G1158-H1158</f>
        <v>1500000</v>
      </c>
    </row>
    <row r="1159" spans="1:9" x14ac:dyDescent="0.3">
      <c r="A1159" s="35">
        <v>40</v>
      </c>
      <c r="B1159" s="36" t="str">
        <f t="shared" si="48"/>
        <v>Suwari</v>
      </c>
      <c r="C1159" s="37">
        <f t="shared" si="49"/>
        <v>9500000</v>
      </c>
      <c r="D1159" s="11">
        <f t="shared" si="50"/>
        <v>285000</v>
      </c>
      <c r="E1159" s="11"/>
      <c r="F1159" s="11"/>
      <c r="G1159" s="11"/>
      <c r="H1159" s="11"/>
      <c r="I1159" s="11">
        <f t="shared" si="51"/>
        <v>9500000</v>
      </c>
    </row>
    <row r="1160" spans="1:9" x14ac:dyDescent="0.3">
      <c r="A1160" s="35">
        <v>41</v>
      </c>
      <c r="B1160" s="36" t="str">
        <f t="shared" si="48"/>
        <v>Suyono 2</v>
      </c>
      <c r="C1160" s="37">
        <f t="shared" si="49"/>
        <v>2000000</v>
      </c>
      <c r="D1160" s="11">
        <f t="shared" si="50"/>
        <v>60000</v>
      </c>
      <c r="E1160" s="11"/>
      <c r="F1160" s="11"/>
      <c r="G1160" s="11"/>
      <c r="H1160" s="11"/>
      <c r="I1160" s="11">
        <f t="shared" si="51"/>
        <v>2000000</v>
      </c>
    </row>
    <row r="1161" spans="1:9" x14ac:dyDescent="0.3">
      <c r="A1161" s="35">
        <v>42</v>
      </c>
      <c r="B1161" s="36" t="str">
        <f t="shared" si="48"/>
        <v>Tisno</v>
      </c>
      <c r="C1161" s="37">
        <f t="shared" si="49"/>
        <v>4000000</v>
      </c>
      <c r="D1161" s="11">
        <f t="shared" si="50"/>
        <v>120000</v>
      </c>
      <c r="E1161" s="38"/>
      <c r="F1161" s="38"/>
      <c r="G1161" s="38"/>
      <c r="H1161" s="11"/>
      <c r="I1161" s="11">
        <f t="shared" si="51"/>
        <v>4000000</v>
      </c>
    </row>
    <row r="1162" spans="1:9" x14ac:dyDescent="0.3">
      <c r="A1162" s="35">
        <v>43</v>
      </c>
      <c r="B1162" s="36" t="str">
        <f t="shared" si="48"/>
        <v>Umi Kulsum</v>
      </c>
      <c r="C1162" s="37">
        <f t="shared" si="49"/>
        <v>6000000</v>
      </c>
      <c r="D1162" s="11">
        <f t="shared" si="50"/>
        <v>180000</v>
      </c>
      <c r="E1162" s="38"/>
      <c r="F1162" s="38"/>
      <c r="G1162" s="38"/>
      <c r="H1162" s="11">
        <v>4000000</v>
      </c>
      <c r="I1162" s="11">
        <f t="shared" si="51"/>
        <v>2000000</v>
      </c>
    </row>
    <row r="1163" spans="1:9" x14ac:dyDescent="0.3">
      <c r="A1163" s="35">
        <v>44</v>
      </c>
      <c r="B1163" s="36" t="str">
        <f t="shared" si="48"/>
        <v>Rofiq</v>
      </c>
      <c r="C1163" s="37">
        <f t="shared" si="49"/>
        <v>5000000</v>
      </c>
      <c r="D1163" s="11">
        <f t="shared" si="50"/>
        <v>150000</v>
      </c>
      <c r="E1163" s="38"/>
      <c r="F1163" s="38"/>
      <c r="G1163" s="38"/>
      <c r="H1163" s="11"/>
      <c r="I1163" s="11">
        <f t="shared" si="51"/>
        <v>5000000</v>
      </c>
    </row>
    <row r="1164" spans="1:9" x14ac:dyDescent="0.3">
      <c r="A1164" s="35">
        <v>45</v>
      </c>
      <c r="B1164" s="36" t="str">
        <f t="shared" si="48"/>
        <v>Siti Fatimah</v>
      </c>
      <c r="C1164" s="37">
        <f t="shared" si="49"/>
        <v>1324450</v>
      </c>
      <c r="D1164" s="11">
        <f t="shared" si="50"/>
        <v>39733.5</v>
      </c>
      <c r="E1164" s="11"/>
      <c r="F1164" s="11"/>
      <c r="G1164" s="11">
        <v>334184</v>
      </c>
      <c r="H1164" s="11"/>
      <c r="I1164" s="11">
        <f t="shared" si="51"/>
        <v>1658634</v>
      </c>
    </row>
    <row r="1165" spans="1:9" x14ac:dyDescent="0.3">
      <c r="A1165" s="39">
        <v>46</v>
      </c>
      <c r="B1165" s="36" t="str">
        <f t="shared" si="48"/>
        <v>Zumaroh</v>
      </c>
      <c r="C1165" s="37">
        <f t="shared" si="49"/>
        <v>7000000</v>
      </c>
      <c r="D1165" s="11">
        <f t="shared" si="50"/>
        <v>210000</v>
      </c>
      <c r="E1165" s="41"/>
      <c r="F1165" s="41"/>
      <c r="G1165" s="41"/>
      <c r="H1165" s="40"/>
      <c r="I1165" s="11">
        <f t="shared" si="51"/>
        <v>7000000</v>
      </c>
    </row>
    <row r="1166" spans="1:9" x14ac:dyDescent="0.3">
      <c r="A1166" s="35">
        <v>47</v>
      </c>
      <c r="B1166" s="36" t="str">
        <f t="shared" si="48"/>
        <v>Ning Husniah</v>
      </c>
      <c r="C1166" s="37">
        <f t="shared" si="49"/>
        <v>2500000</v>
      </c>
      <c r="D1166" s="11">
        <f t="shared" si="50"/>
        <v>75000</v>
      </c>
      <c r="E1166" s="38"/>
      <c r="F1166" s="38"/>
      <c r="G1166" s="38"/>
      <c r="H1166" s="11"/>
      <c r="I1166" s="11">
        <f t="shared" si="51"/>
        <v>2500000</v>
      </c>
    </row>
    <row r="1167" spans="1:9" x14ac:dyDescent="0.3">
      <c r="A1167" s="35">
        <v>48</v>
      </c>
      <c r="B1167" s="36" t="str">
        <f t="shared" si="48"/>
        <v>Lu'luur R</v>
      </c>
      <c r="C1167" s="37">
        <f t="shared" si="49"/>
        <v>1030000</v>
      </c>
      <c r="D1167" s="11">
        <f t="shared" si="50"/>
        <v>30900</v>
      </c>
      <c r="E1167" s="11"/>
      <c r="F1167" s="11"/>
      <c r="G1167" s="11"/>
      <c r="H1167" s="11"/>
      <c r="I1167" s="11">
        <f t="shared" si="51"/>
        <v>1030000</v>
      </c>
    </row>
    <row r="1168" spans="1:9" x14ac:dyDescent="0.3">
      <c r="A1168" s="35">
        <v>49</v>
      </c>
      <c r="B1168" s="36" t="str">
        <f t="shared" si="48"/>
        <v>Umar</v>
      </c>
      <c r="C1168" s="37">
        <f t="shared" si="49"/>
        <v>2000000</v>
      </c>
      <c r="D1168" s="11">
        <f t="shared" si="50"/>
        <v>60000</v>
      </c>
      <c r="E1168" s="11"/>
      <c r="F1168" s="11"/>
      <c r="G1168" s="11"/>
      <c r="H1168" s="11"/>
      <c r="I1168" s="11">
        <f t="shared" si="51"/>
        <v>2000000</v>
      </c>
    </row>
    <row r="1169" spans="1:9" x14ac:dyDescent="0.3">
      <c r="A1169" s="35">
        <v>50</v>
      </c>
      <c r="B1169" s="36" t="str">
        <f t="shared" si="48"/>
        <v>Ana/Bu Khoiri</v>
      </c>
      <c r="C1169" s="37">
        <f t="shared" si="49"/>
        <v>19174373</v>
      </c>
      <c r="D1169" s="11">
        <f t="shared" si="50"/>
        <v>575231.18999999994</v>
      </c>
      <c r="E1169" s="11"/>
      <c r="F1169" s="11">
        <v>500000</v>
      </c>
      <c r="G1169" s="11"/>
      <c r="H1169" s="11">
        <v>91350</v>
      </c>
      <c r="I1169" s="11">
        <f t="shared" si="51"/>
        <v>18583023</v>
      </c>
    </row>
    <row r="1170" spans="1:9" x14ac:dyDescent="0.3">
      <c r="A1170" s="35">
        <v>51</v>
      </c>
      <c r="B1170" s="36" t="str">
        <f t="shared" si="48"/>
        <v>Anik Mahsunah W</v>
      </c>
      <c r="C1170" s="37">
        <f t="shared" si="49"/>
        <v>500000</v>
      </c>
      <c r="D1170" s="11">
        <f t="shared" si="50"/>
        <v>15000</v>
      </c>
      <c r="E1170" s="11"/>
      <c r="F1170" s="11"/>
      <c r="G1170" s="11"/>
      <c r="H1170" s="11"/>
      <c r="I1170" s="11">
        <f t="shared" si="51"/>
        <v>500000</v>
      </c>
    </row>
    <row r="1171" spans="1:9" x14ac:dyDescent="0.3">
      <c r="A1171" s="35">
        <v>52</v>
      </c>
      <c r="B1171" s="36" t="str">
        <f t="shared" si="48"/>
        <v>Fajrul Ummah</v>
      </c>
      <c r="C1171" s="37">
        <f t="shared" si="49"/>
        <v>12939517</v>
      </c>
      <c r="D1171" s="11">
        <f t="shared" si="50"/>
        <v>388185.51</v>
      </c>
      <c r="E1171" s="38"/>
      <c r="F1171" s="38"/>
      <c r="G1171" s="38">
        <v>658703</v>
      </c>
      <c r="H1171" s="11"/>
      <c r="I1171" s="11">
        <f t="shared" si="51"/>
        <v>13598220</v>
      </c>
    </row>
    <row r="1172" spans="1:9" x14ac:dyDescent="0.3">
      <c r="A1172" s="35">
        <v>53</v>
      </c>
      <c r="B1172" s="36" t="str">
        <f t="shared" si="48"/>
        <v>Imam Masrodin</v>
      </c>
      <c r="C1172" s="37">
        <f t="shared" si="49"/>
        <v>3000000</v>
      </c>
      <c r="D1172" s="11">
        <f t="shared" si="50"/>
        <v>90000</v>
      </c>
      <c r="E1172" s="38"/>
      <c r="F1172" s="38"/>
      <c r="G1172" s="38"/>
      <c r="H1172" s="11"/>
      <c r="I1172" s="11">
        <f t="shared" si="51"/>
        <v>3000000</v>
      </c>
    </row>
    <row r="1173" spans="1:9" x14ac:dyDescent="0.3">
      <c r="A1173" s="35">
        <v>54</v>
      </c>
      <c r="B1173" s="36" t="str">
        <f t="shared" si="48"/>
        <v>Muayanah</v>
      </c>
      <c r="C1173" s="37">
        <f t="shared" si="49"/>
        <v>11000000</v>
      </c>
      <c r="D1173" s="11">
        <f t="shared" si="50"/>
        <v>330000</v>
      </c>
      <c r="E1173" s="38"/>
      <c r="F1173" s="38"/>
      <c r="G1173" s="38">
        <v>8000000</v>
      </c>
      <c r="H1173" s="11"/>
      <c r="I1173" s="11">
        <f t="shared" si="51"/>
        <v>19000000</v>
      </c>
    </row>
    <row r="1174" spans="1:9" x14ac:dyDescent="0.3">
      <c r="A1174" s="35">
        <v>55</v>
      </c>
      <c r="B1174" s="36" t="str">
        <f t="shared" si="48"/>
        <v>Siswanto</v>
      </c>
      <c r="C1174" s="37">
        <f t="shared" si="49"/>
        <v>14500000</v>
      </c>
      <c r="D1174" s="11">
        <f t="shared" si="50"/>
        <v>435000</v>
      </c>
      <c r="E1174" s="38"/>
      <c r="F1174" s="38"/>
      <c r="G1174" s="38"/>
      <c r="H1174" s="11"/>
      <c r="I1174" s="11">
        <f t="shared" si="51"/>
        <v>14500000</v>
      </c>
    </row>
    <row r="1175" spans="1:9" x14ac:dyDescent="0.3">
      <c r="A1175" s="35">
        <v>56</v>
      </c>
      <c r="B1175" s="36" t="str">
        <f t="shared" si="48"/>
        <v>Bin Asiyah</v>
      </c>
      <c r="C1175" s="37">
        <f t="shared" si="49"/>
        <v>17000000</v>
      </c>
      <c r="D1175" s="11">
        <f t="shared" si="50"/>
        <v>510000</v>
      </c>
      <c r="E1175" s="38"/>
      <c r="F1175" s="38"/>
      <c r="G1175" s="38"/>
      <c r="H1175" s="11"/>
      <c r="I1175" s="11">
        <f t="shared" si="51"/>
        <v>17000000</v>
      </c>
    </row>
    <row r="1176" spans="1:9" x14ac:dyDescent="0.3">
      <c r="A1176" s="35">
        <v>57</v>
      </c>
      <c r="B1176" s="36" t="str">
        <f t="shared" si="48"/>
        <v>Tayem</v>
      </c>
      <c r="C1176" s="37">
        <f t="shared" si="49"/>
        <v>1000000</v>
      </c>
      <c r="D1176" s="11">
        <f t="shared" si="50"/>
        <v>30000</v>
      </c>
      <c r="E1176" s="38"/>
      <c r="F1176" s="38"/>
      <c r="G1176" s="38"/>
      <c r="H1176" s="11"/>
      <c r="I1176" s="11">
        <f t="shared" si="51"/>
        <v>1000000</v>
      </c>
    </row>
    <row r="1177" spans="1:9" x14ac:dyDescent="0.3">
      <c r="A1177" s="35">
        <v>58</v>
      </c>
      <c r="B1177" s="36" t="str">
        <f t="shared" si="48"/>
        <v>Sholahuddin Afif</v>
      </c>
      <c r="C1177" s="37">
        <f t="shared" si="49"/>
        <v>2000000</v>
      </c>
      <c r="D1177" s="11">
        <f t="shared" si="50"/>
        <v>60000</v>
      </c>
      <c r="E1177" s="38">
        <v>500000</v>
      </c>
      <c r="F1177" s="38"/>
      <c r="G1177" s="38"/>
      <c r="H1177" s="38"/>
      <c r="I1177" s="11">
        <f t="shared" si="51"/>
        <v>2500000</v>
      </c>
    </row>
    <row r="1178" spans="1:9" x14ac:dyDescent="0.3">
      <c r="A1178" s="35">
        <v>59</v>
      </c>
      <c r="B1178" s="36" t="str">
        <f t="shared" si="48"/>
        <v>Masithah</v>
      </c>
      <c r="C1178" s="37">
        <f t="shared" si="49"/>
        <v>3000000</v>
      </c>
      <c r="D1178" s="11">
        <f t="shared" si="50"/>
        <v>90000</v>
      </c>
      <c r="E1178" s="11"/>
      <c r="F1178" s="11"/>
      <c r="G1178" s="11"/>
      <c r="H1178" s="11"/>
      <c r="I1178" s="11">
        <f t="shared" si="51"/>
        <v>3000000</v>
      </c>
    </row>
    <row r="1179" spans="1:9" x14ac:dyDescent="0.3">
      <c r="A1179" s="35">
        <v>60</v>
      </c>
      <c r="B1179" s="36" t="str">
        <f t="shared" si="48"/>
        <v>Rikayati</v>
      </c>
      <c r="C1179" s="37">
        <f t="shared" si="49"/>
        <v>1500000</v>
      </c>
      <c r="D1179" s="11">
        <f t="shared" si="50"/>
        <v>45000</v>
      </c>
      <c r="E1179" s="11"/>
      <c r="F1179" s="11"/>
      <c r="G1179" s="11"/>
      <c r="H1179" s="11"/>
      <c r="I1179" s="11">
        <f t="shared" si="51"/>
        <v>1500000</v>
      </c>
    </row>
    <row r="1180" spans="1:9" x14ac:dyDescent="0.3">
      <c r="A1180" s="35">
        <v>61</v>
      </c>
      <c r="B1180" s="36" t="str">
        <f t="shared" si="48"/>
        <v>Misbahuddin</v>
      </c>
      <c r="C1180" s="37">
        <f t="shared" si="49"/>
        <v>0</v>
      </c>
      <c r="D1180" s="11">
        <f t="shared" si="50"/>
        <v>0</v>
      </c>
      <c r="E1180" s="11"/>
      <c r="F1180" s="11"/>
      <c r="G1180" s="11"/>
      <c r="H1180" s="11"/>
      <c r="I1180" s="11">
        <f t="shared" si="51"/>
        <v>0</v>
      </c>
    </row>
    <row r="1181" spans="1:9" x14ac:dyDescent="0.3">
      <c r="A1181" s="35">
        <v>62</v>
      </c>
      <c r="B1181" s="36" t="str">
        <f t="shared" si="48"/>
        <v>Munisah</v>
      </c>
      <c r="C1181" s="37">
        <f t="shared" si="49"/>
        <v>0</v>
      </c>
      <c r="D1181" s="11">
        <f t="shared" si="50"/>
        <v>0</v>
      </c>
      <c r="E1181" s="38"/>
      <c r="F1181" s="11"/>
      <c r="G1181" s="11"/>
      <c r="H1181" s="11"/>
      <c r="I1181" s="11">
        <f t="shared" si="51"/>
        <v>0</v>
      </c>
    </row>
    <row r="1182" spans="1:9" x14ac:dyDescent="0.3">
      <c r="A1182" s="35">
        <v>63</v>
      </c>
      <c r="B1182" s="36"/>
      <c r="C1182" s="37"/>
      <c r="D1182" s="11"/>
      <c r="E1182" s="38"/>
      <c r="F1182" s="43"/>
      <c r="G1182" s="11"/>
      <c r="H1182" s="11"/>
      <c r="I1182" s="11">
        <f t="shared" si="51"/>
        <v>0</v>
      </c>
    </row>
    <row r="1183" spans="1:9" ht="17.25" thickBot="1" x14ac:dyDescent="0.35">
      <c r="A1183" s="44" t="s">
        <v>13</v>
      </c>
      <c r="B1183" s="45"/>
      <c r="C1183" s="46">
        <f>SUM(C1120:C1182)</f>
        <v>352297838</v>
      </c>
      <c r="D1183" s="47">
        <f>SUM(D1120:D1182)</f>
        <v>10568935.140000001</v>
      </c>
      <c r="E1183" s="15">
        <f>SUM(E1120:E1182)</f>
        <v>500000</v>
      </c>
      <c r="F1183" s="15">
        <f>SUM(F1120:F1182)</f>
        <v>500000</v>
      </c>
      <c r="G1183" s="16">
        <f>SUM(G1121:G1182)</f>
        <v>14979769</v>
      </c>
      <c r="H1183" s="16">
        <f>SUM(H1120:H1182)</f>
        <v>4268350</v>
      </c>
      <c r="I1183" s="17">
        <f>SUM(I1120:I1182)</f>
        <v>363009257</v>
      </c>
    </row>
    <row r="1184" spans="1:9" x14ac:dyDescent="0.3">
      <c r="C1184" s="49"/>
      <c r="D1184" s="50"/>
      <c r="E1184" s="50"/>
      <c r="F1184" s="50"/>
      <c r="I1184" s="19"/>
    </row>
    <row r="1185" spans="1:8" x14ac:dyDescent="0.3">
      <c r="H1185" s="2" t="s">
        <v>98</v>
      </c>
    </row>
    <row r="1189" spans="1:8" s="3" customFormat="1" x14ac:dyDescent="0.3">
      <c r="A1189" s="2"/>
      <c r="B1189" s="2"/>
      <c r="C1189" s="2"/>
      <c r="D1189" s="2"/>
      <c r="E1189" s="2"/>
      <c r="F1189" s="2"/>
      <c r="G1189" s="2"/>
      <c r="H1189" s="51" t="s">
        <v>15</v>
      </c>
    </row>
    <row r="1228" spans="1:9" ht="20.25" x14ac:dyDescent="0.3">
      <c r="A1228" s="52" t="s">
        <v>99</v>
      </c>
      <c r="B1228" s="52"/>
      <c r="C1228" s="52"/>
      <c r="D1228" s="52"/>
      <c r="E1228" s="52"/>
      <c r="F1228" s="52"/>
      <c r="G1228" s="52"/>
      <c r="H1228" s="52"/>
      <c r="I1228" s="52"/>
    </row>
    <row r="1230" spans="1:9" ht="66" x14ac:dyDescent="0.3">
      <c r="A1230" s="53" t="s">
        <v>1</v>
      </c>
      <c r="B1230" s="53" t="s">
        <v>2</v>
      </c>
      <c r="C1230" s="53" t="s">
        <v>3</v>
      </c>
      <c r="D1230" s="55" t="s">
        <v>4</v>
      </c>
      <c r="E1230" s="55" t="s">
        <v>5</v>
      </c>
      <c r="F1230" s="55" t="s">
        <v>6</v>
      </c>
      <c r="G1230" s="55" t="s">
        <v>7</v>
      </c>
      <c r="H1230" s="55" t="s">
        <v>8</v>
      </c>
      <c r="I1230" s="5" t="s">
        <v>9</v>
      </c>
    </row>
    <row r="1231" spans="1:9" x14ac:dyDescent="0.3">
      <c r="A1231" s="56"/>
      <c r="B1231" s="56"/>
      <c r="C1231" s="56"/>
      <c r="D1231" s="58">
        <v>45933</v>
      </c>
      <c r="E1231" s="58">
        <f>D1231</f>
        <v>45933</v>
      </c>
      <c r="F1231" s="58">
        <f>E1231</f>
        <v>45933</v>
      </c>
      <c r="G1231" s="58">
        <f>F1231</f>
        <v>45933</v>
      </c>
      <c r="H1231" s="58">
        <f>G1231</f>
        <v>45933</v>
      </c>
      <c r="I1231" s="58">
        <f>H1231</f>
        <v>45933</v>
      </c>
    </row>
    <row r="1232" spans="1:9" x14ac:dyDescent="0.3">
      <c r="A1232" s="35">
        <v>1</v>
      </c>
      <c r="B1232" s="36" t="str">
        <f>B1120</f>
        <v>Abd Rochman 2</v>
      </c>
      <c r="C1232" s="37">
        <f>I1120</f>
        <v>13500000</v>
      </c>
      <c r="D1232" s="11">
        <f>C1232*3%</f>
        <v>405000</v>
      </c>
      <c r="E1232" s="11">
        <v>15500000</v>
      </c>
      <c r="F1232" s="11"/>
      <c r="G1232" s="11">
        <v>2500000</v>
      </c>
      <c r="H1232" s="11"/>
      <c r="I1232" s="11">
        <f>D1232+G1232</f>
        <v>2905000</v>
      </c>
    </row>
    <row r="1233" spans="1:9" x14ac:dyDescent="0.3">
      <c r="A1233" s="35">
        <v>2</v>
      </c>
      <c r="B1233" s="36" t="str">
        <f t="shared" ref="B1233:B1294" si="52">B1121</f>
        <v>Ali Muttaqin</v>
      </c>
      <c r="C1233" s="37">
        <f t="shared" ref="C1233:C1293" si="53">I1121</f>
        <v>5000000</v>
      </c>
      <c r="D1233" s="11">
        <f t="shared" ref="D1233:D1293" si="54">C1233*3%</f>
        <v>150000</v>
      </c>
      <c r="E1233" s="11">
        <v>4000000</v>
      </c>
      <c r="F1233" s="11"/>
      <c r="G1233" s="11">
        <v>1000000</v>
      </c>
      <c r="H1233" s="11"/>
      <c r="I1233" s="11">
        <f t="shared" ref="I1233:I1294" si="55">D1233+G1233</f>
        <v>1150000</v>
      </c>
    </row>
    <row r="1234" spans="1:9" x14ac:dyDescent="0.3">
      <c r="A1234" s="35">
        <v>3</v>
      </c>
      <c r="B1234" s="36" t="str">
        <f t="shared" si="52"/>
        <v>Amnan</v>
      </c>
      <c r="C1234" s="37">
        <f t="shared" si="53"/>
        <v>10100000</v>
      </c>
      <c r="D1234" s="11">
        <f t="shared" si="54"/>
        <v>303000</v>
      </c>
      <c r="E1234" s="11">
        <v>8400000</v>
      </c>
      <c r="F1234" s="11"/>
      <c r="G1234" s="11">
        <v>100000</v>
      </c>
      <c r="H1234" s="11"/>
      <c r="I1234" s="11">
        <f t="shared" si="55"/>
        <v>403000</v>
      </c>
    </row>
    <row r="1235" spans="1:9" x14ac:dyDescent="0.3">
      <c r="A1235" s="35">
        <v>4</v>
      </c>
      <c r="B1235" s="36" t="str">
        <f t="shared" si="52"/>
        <v>Bambang</v>
      </c>
      <c r="C1235" s="37">
        <f t="shared" si="53"/>
        <v>7800000</v>
      </c>
      <c r="D1235" s="11">
        <f t="shared" si="54"/>
        <v>234000</v>
      </c>
      <c r="E1235" s="11">
        <v>7300000</v>
      </c>
      <c r="F1235" s="11"/>
      <c r="G1235" s="11">
        <v>500000</v>
      </c>
      <c r="H1235" s="11"/>
      <c r="I1235" s="11">
        <f t="shared" si="55"/>
        <v>734000</v>
      </c>
    </row>
    <row r="1236" spans="1:9" x14ac:dyDescent="0.3">
      <c r="A1236" s="35">
        <v>5</v>
      </c>
      <c r="B1236" s="36" t="str">
        <f t="shared" si="52"/>
        <v>Erham</v>
      </c>
      <c r="C1236" s="37">
        <f t="shared" si="53"/>
        <v>5300000</v>
      </c>
      <c r="D1236" s="11">
        <f t="shared" si="54"/>
        <v>159000</v>
      </c>
      <c r="E1236" s="11">
        <v>5000000</v>
      </c>
      <c r="F1236" s="11"/>
      <c r="G1236" s="11">
        <v>200000</v>
      </c>
      <c r="H1236" s="11"/>
      <c r="I1236" s="11">
        <f t="shared" si="55"/>
        <v>359000</v>
      </c>
    </row>
    <row r="1237" spans="1:9" x14ac:dyDescent="0.3">
      <c r="A1237" s="35">
        <v>6</v>
      </c>
      <c r="B1237" s="36" t="str">
        <f t="shared" si="52"/>
        <v>Estuningati</v>
      </c>
      <c r="C1237" s="37">
        <f t="shared" si="53"/>
        <v>4000000</v>
      </c>
      <c r="D1237" s="11">
        <f t="shared" si="54"/>
        <v>120000</v>
      </c>
      <c r="E1237" s="11">
        <v>4000000</v>
      </c>
      <c r="F1237" s="11"/>
      <c r="G1237" s="11"/>
      <c r="H1237" s="11"/>
      <c r="I1237" s="11">
        <f t="shared" si="55"/>
        <v>120000</v>
      </c>
    </row>
    <row r="1238" spans="1:9" x14ac:dyDescent="0.3">
      <c r="A1238" s="35">
        <v>7</v>
      </c>
      <c r="B1238" s="36" t="str">
        <f t="shared" si="52"/>
        <v>Faisal (Subarin)</v>
      </c>
      <c r="C1238" s="37">
        <f t="shared" si="53"/>
        <v>4450000</v>
      </c>
      <c r="D1238" s="11">
        <f t="shared" si="54"/>
        <v>133500</v>
      </c>
      <c r="E1238" s="11">
        <v>4000000</v>
      </c>
      <c r="F1238" s="11"/>
      <c r="G1238" s="11">
        <v>3000000</v>
      </c>
      <c r="H1238" s="11"/>
      <c r="I1238" s="11">
        <f t="shared" si="55"/>
        <v>3133500</v>
      </c>
    </row>
    <row r="1239" spans="1:9" x14ac:dyDescent="0.3">
      <c r="A1239" s="35">
        <v>8</v>
      </c>
      <c r="B1239" s="36" t="str">
        <f t="shared" si="52"/>
        <v>H. Nasikin</v>
      </c>
      <c r="C1239" s="37">
        <f t="shared" si="53"/>
        <v>2000000</v>
      </c>
      <c r="D1239" s="11">
        <f t="shared" si="54"/>
        <v>60000</v>
      </c>
      <c r="E1239" s="11"/>
      <c r="F1239" s="11"/>
      <c r="G1239" s="11"/>
      <c r="H1239" s="11"/>
      <c r="I1239" s="11">
        <f t="shared" si="55"/>
        <v>60000</v>
      </c>
    </row>
    <row r="1240" spans="1:9" x14ac:dyDescent="0.3">
      <c r="A1240" s="35">
        <v>9</v>
      </c>
      <c r="B1240" s="36" t="str">
        <f t="shared" si="52"/>
        <v>H. Shonhaji</v>
      </c>
      <c r="C1240" s="37">
        <f t="shared" si="53"/>
        <v>1000000</v>
      </c>
      <c r="D1240" s="11">
        <f t="shared" si="54"/>
        <v>30000</v>
      </c>
      <c r="E1240" s="11">
        <v>2000000</v>
      </c>
      <c r="F1240" s="11"/>
      <c r="G1240" s="11"/>
      <c r="H1240" s="11"/>
      <c r="I1240" s="11">
        <f t="shared" si="55"/>
        <v>30000</v>
      </c>
    </row>
    <row r="1241" spans="1:9" x14ac:dyDescent="0.3">
      <c r="A1241" s="35">
        <v>10</v>
      </c>
      <c r="B1241" s="36" t="str">
        <f t="shared" si="52"/>
        <v>Hanafi</v>
      </c>
      <c r="C1241" s="37">
        <f t="shared" si="53"/>
        <v>2000000</v>
      </c>
      <c r="D1241" s="11">
        <f t="shared" si="54"/>
        <v>60000</v>
      </c>
      <c r="E1241" s="11">
        <v>1000000</v>
      </c>
      <c r="F1241" s="11"/>
      <c r="G1241" s="11"/>
      <c r="H1241" s="11"/>
      <c r="I1241" s="11">
        <f t="shared" si="55"/>
        <v>60000</v>
      </c>
    </row>
    <row r="1242" spans="1:9" x14ac:dyDescent="0.3">
      <c r="A1242" s="35">
        <v>11</v>
      </c>
      <c r="B1242" s="36" t="str">
        <f t="shared" si="52"/>
        <v>Hidayat</v>
      </c>
      <c r="C1242" s="37">
        <f t="shared" si="53"/>
        <v>3599000</v>
      </c>
      <c r="D1242" s="11">
        <f t="shared" si="54"/>
        <v>107970</v>
      </c>
      <c r="E1242" s="11">
        <v>1500000</v>
      </c>
      <c r="F1242" s="11"/>
      <c r="G1242" s="11"/>
      <c r="H1242" s="11"/>
      <c r="I1242" s="11">
        <f t="shared" si="55"/>
        <v>107970</v>
      </c>
    </row>
    <row r="1243" spans="1:9" x14ac:dyDescent="0.3">
      <c r="A1243" s="35">
        <v>12</v>
      </c>
      <c r="B1243" s="36" t="str">
        <f t="shared" si="52"/>
        <v>Ika Tartila</v>
      </c>
      <c r="C1243" s="37">
        <f t="shared" si="53"/>
        <v>3090000</v>
      </c>
      <c r="D1243" s="11">
        <f t="shared" si="54"/>
        <v>92700</v>
      </c>
      <c r="E1243" s="11">
        <v>3000000</v>
      </c>
      <c r="F1243" s="11"/>
      <c r="G1243" s="11"/>
      <c r="H1243" s="11"/>
      <c r="I1243" s="11">
        <f t="shared" si="55"/>
        <v>92700</v>
      </c>
    </row>
    <row r="1244" spans="1:9" x14ac:dyDescent="0.3">
      <c r="A1244" s="35">
        <v>13</v>
      </c>
      <c r="B1244" s="36" t="str">
        <f t="shared" si="52"/>
        <v>Jumiah 2</v>
      </c>
      <c r="C1244" s="37">
        <f t="shared" si="53"/>
        <v>7100000</v>
      </c>
      <c r="D1244" s="11">
        <f t="shared" si="54"/>
        <v>213000</v>
      </c>
      <c r="E1244" s="11">
        <v>2000000</v>
      </c>
      <c r="F1244" s="11"/>
      <c r="G1244" s="11">
        <v>1000000</v>
      </c>
      <c r="H1244" s="11"/>
      <c r="I1244" s="11">
        <f t="shared" si="55"/>
        <v>1213000</v>
      </c>
    </row>
    <row r="1245" spans="1:9" x14ac:dyDescent="0.3">
      <c r="A1245" s="35">
        <v>14</v>
      </c>
      <c r="B1245" s="36" t="str">
        <f t="shared" si="52"/>
        <v>Kamari</v>
      </c>
      <c r="C1245" s="37">
        <f t="shared" si="53"/>
        <v>3000000</v>
      </c>
      <c r="D1245" s="11">
        <f t="shared" si="54"/>
        <v>90000</v>
      </c>
      <c r="E1245" s="11">
        <v>7100000</v>
      </c>
      <c r="F1245" s="11"/>
      <c r="G1245" s="11"/>
      <c r="H1245" s="11"/>
      <c r="I1245" s="11">
        <f t="shared" si="55"/>
        <v>90000</v>
      </c>
    </row>
    <row r="1246" spans="1:9" x14ac:dyDescent="0.3">
      <c r="A1246" s="35">
        <v>15</v>
      </c>
      <c r="B1246" s="36" t="str">
        <f t="shared" si="52"/>
        <v xml:space="preserve">Kolidi </v>
      </c>
      <c r="C1246" s="37">
        <f t="shared" si="53"/>
        <v>1500000</v>
      </c>
      <c r="D1246" s="11">
        <f t="shared" si="54"/>
        <v>45000</v>
      </c>
      <c r="E1246" s="11">
        <v>2000000</v>
      </c>
      <c r="F1246" s="11"/>
      <c r="G1246" s="11">
        <v>500000</v>
      </c>
      <c r="H1246" s="11"/>
      <c r="I1246" s="11">
        <f t="shared" si="55"/>
        <v>545000</v>
      </c>
    </row>
    <row r="1247" spans="1:9" x14ac:dyDescent="0.3">
      <c r="A1247" s="35">
        <v>16</v>
      </c>
      <c r="B1247" s="36" t="str">
        <f t="shared" si="52"/>
        <v>Kuspandi</v>
      </c>
      <c r="C1247" s="37">
        <f t="shared" si="53"/>
        <v>500000</v>
      </c>
      <c r="D1247" s="11">
        <f t="shared" si="54"/>
        <v>15000</v>
      </c>
      <c r="E1247" s="11">
        <v>1500000</v>
      </c>
      <c r="F1247" s="11"/>
      <c r="G1247" s="11"/>
      <c r="H1247" s="11"/>
      <c r="I1247" s="11">
        <f t="shared" si="55"/>
        <v>15000</v>
      </c>
    </row>
    <row r="1248" spans="1:9" x14ac:dyDescent="0.3">
      <c r="A1248" s="35">
        <v>17</v>
      </c>
      <c r="B1248" s="36" t="str">
        <f t="shared" si="52"/>
        <v>Malikan</v>
      </c>
      <c r="C1248" s="37">
        <f t="shared" si="53"/>
        <v>11000000</v>
      </c>
      <c r="D1248" s="11">
        <f t="shared" si="54"/>
        <v>330000</v>
      </c>
      <c r="E1248" s="11">
        <v>500000</v>
      </c>
      <c r="F1248" s="11"/>
      <c r="G1248" s="11"/>
      <c r="H1248" s="11"/>
      <c r="I1248" s="11">
        <f t="shared" si="55"/>
        <v>330000</v>
      </c>
    </row>
    <row r="1249" spans="1:9" x14ac:dyDescent="0.3">
      <c r="A1249" s="35">
        <v>18</v>
      </c>
      <c r="B1249" s="36" t="str">
        <f t="shared" si="52"/>
        <v xml:space="preserve">Mardiyah </v>
      </c>
      <c r="C1249" s="37">
        <f t="shared" si="53"/>
        <v>2000000</v>
      </c>
      <c r="D1249" s="11">
        <f t="shared" si="54"/>
        <v>60000</v>
      </c>
      <c r="E1249" s="11">
        <v>11500000</v>
      </c>
      <c r="F1249" s="11"/>
      <c r="G1249" s="11"/>
      <c r="H1249" s="11"/>
      <c r="I1249" s="11">
        <f t="shared" si="55"/>
        <v>60000</v>
      </c>
    </row>
    <row r="1250" spans="1:9" x14ac:dyDescent="0.3">
      <c r="A1250" s="35">
        <v>19</v>
      </c>
      <c r="B1250" s="36" t="str">
        <f t="shared" si="52"/>
        <v>Matakrip</v>
      </c>
      <c r="C1250" s="37">
        <f t="shared" si="53"/>
        <v>3900000</v>
      </c>
      <c r="D1250" s="11">
        <f t="shared" si="54"/>
        <v>117000</v>
      </c>
      <c r="E1250" s="11">
        <v>1000000</v>
      </c>
      <c r="F1250" s="11"/>
      <c r="G1250" s="11">
        <v>1000000</v>
      </c>
      <c r="H1250" s="11"/>
      <c r="I1250" s="11">
        <f t="shared" si="55"/>
        <v>1117000</v>
      </c>
    </row>
    <row r="1251" spans="1:9" x14ac:dyDescent="0.3">
      <c r="A1251" s="35">
        <v>20</v>
      </c>
      <c r="B1251" s="36" t="str">
        <f t="shared" si="52"/>
        <v>Matelan (wir)</v>
      </c>
      <c r="C1251" s="37">
        <f t="shared" si="53"/>
        <v>4000000</v>
      </c>
      <c r="D1251" s="11">
        <f t="shared" si="54"/>
        <v>120000</v>
      </c>
      <c r="E1251" s="11">
        <v>3900000</v>
      </c>
      <c r="F1251" s="11"/>
      <c r="G1251" s="11"/>
      <c r="H1251" s="11"/>
      <c r="I1251" s="11">
        <f t="shared" si="55"/>
        <v>120000</v>
      </c>
    </row>
    <row r="1252" spans="1:9" x14ac:dyDescent="0.3">
      <c r="A1252" s="35">
        <v>21</v>
      </c>
      <c r="B1252" s="36" t="str">
        <f t="shared" si="52"/>
        <v>Mathoha</v>
      </c>
      <c r="C1252" s="37">
        <f t="shared" si="53"/>
        <v>1538000</v>
      </c>
      <c r="D1252" s="11">
        <f t="shared" si="54"/>
        <v>46140</v>
      </c>
      <c r="E1252" s="11">
        <v>3500000</v>
      </c>
      <c r="F1252" s="11"/>
      <c r="G1252" s="11">
        <v>1000000</v>
      </c>
      <c r="H1252" s="11"/>
      <c r="I1252" s="11">
        <f t="shared" si="55"/>
        <v>1046140</v>
      </c>
    </row>
    <row r="1253" spans="1:9" x14ac:dyDescent="0.3">
      <c r="A1253" s="35">
        <v>22</v>
      </c>
      <c r="B1253" s="36" t="str">
        <f t="shared" si="52"/>
        <v>Matkasan</v>
      </c>
      <c r="C1253" s="37">
        <f t="shared" si="53"/>
        <v>7500000</v>
      </c>
      <c r="D1253" s="11">
        <f t="shared" si="54"/>
        <v>225000</v>
      </c>
      <c r="E1253" s="11">
        <v>1000000</v>
      </c>
      <c r="F1253" s="11"/>
      <c r="G1253" s="11"/>
      <c r="H1253" s="11"/>
      <c r="I1253" s="11">
        <f t="shared" si="55"/>
        <v>225000</v>
      </c>
    </row>
    <row r="1254" spans="1:9" x14ac:dyDescent="0.3">
      <c r="A1254" s="35">
        <v>23</v>
      </c>
      <c r="B1254" s="36" t="str">
        <f t="shared" si="52"/>
        <v>Umi Nadhiroh</v>
      </c>
      <c r="C1254" s="37">
        <f t="shared" si="53"/>
        <v>7700000</v>
      </c>
      <c r="D1254" s="11">
        <f t="shared" si="54"/>
        <v>231000</v>
      </c>
      <c r="E1254" s="11"/>
      <c r="F1254" s="11"/>
      <c r="G1254" s="11">
        <v>6000000</v>
      </c>
      <c r="H1254" s="11"/>
      <c r="I1254" s="11">
        <f t="shared" si="55"/>
        <v>6231000</v>
      </c>
    </row>
    <row r="1255" spans="1:9" x14ac:dyDescent="0.3">
      <c r="A1255" s="35">
        <v>24</v>
      </c>
      <c r="B1255" s="36" t="str">
        <f t="shared" si="52"/>
        <v>Mi'an</v>
      </c>
      <c r="C1255" s="37">
        <f t="shared" si="53"/>
        <v>4291000</v>
      </c>
      <c r="D1255" s="11">
        <f t="shared" si="54"/>
        <v>128730</v>
      </c>
      <c r="E1255" s="11">
        <v>5700000</v>
      </c>
      <c r="F1255" s="11"/>
      <c r="G1255" s="11"/>
      <c r="H1255" s="11"/>
      <c r="I1255" s="11">
        <f t="shared" si="55"/>
        <v>128730</v>
      </c>
    </row>
    <row r="1256" spans="1:9" x14ac:dyDescent="0.3">
      <c r="A1256" s="35">
        <v>25</v>
      </c>
      <c r="B1256" s="36" t="str">
        <f t="shared" si="52"/>
        <v>Mu'minin</v>
      </c>
      <c r="C1256" s="37">
        <f t="shared" si="53"/>
        <v>3300000</v>
      </c>
      <c r="D1256" s="11">
        <f t="shared" si="54"/>
        <v>99000</v>
      </c>
      <c r="E1256" s="11">
        <v>5000000</v>
      </c>
      <c r="F1256" s="11"/>
      <c r="G1256" s="11"/>
      <c r="H1256" s="11"/>
      <c r="I1256" s="11">
        <f t="shared" si="55"/>
        <v>99000</v>
      </c>
    </row>
    <row r="1257" spans="1:9" x14ac:dyDescent="0.3">
      <c r="A1257" s="35">
        <v>26</v>
      </c>
      <c r="B1257" s="36" t="str">
        <f t="shared" si="52"/>
        <v>Munawar</v>
      </c>
      <c r="C1257" s="37">
        <f t="shared" si="53"/>
        <v>1000000</v>
      </c>
      <c r="D1257" s="11">
        <f t="shared" si="54"/>
        <v>30000</v>
      </c>
      <c r="E1257" s="11">
        <v>3300000</v>
      </c>
      <c r="F1257" s="11"/>
      <c r="G1257" s="11"/>
      <c r="H1257" s="11"/>
      <c r="I1257" s="11">
        <f t="shared" si="55"/>
        <v>30000</v>
      </c>
    </row>
    <row r="1258" spans="1:9" x14ac:dyDescent="0.3">
      <c r="A1258" s="35">
        <v>27</v>
      </c>
      <c r="B1258" s="36" t="str">
        <f t="shared" si="52"/>
        <v>Muslikatin</v>
      </c>
      <c r="C1258" s="37">
        <f t="shared" si="53"/>
        <v>2000000</v>
      </c>
      <c r="D1258" s="11">
        <f t="shared" si="54"/>
        <v>60000</v>
      </c>
      <c r="E1258" s="11">
        <v>1500000</v>
      </c>
      <c r="F1258" s="11"/>
      <c r="G1258" s="11"/>
      <c r="H1258" s="11"/>
      <c r="I1258" s="11">
        <f t="shared" si="55"/>
        <v>60000</v>
      </c>
    </row>
    <row r="1259" spans="1:9" x14ac:dyDescent="0.3">
      <c r="A1259" s="35">
        <v>28</v>
      </c>
      <c r="B1259" s="36" t="str">
        <f t="shared" si="52"/>
        <v>Nurhadi</v>
      </c>
      <c r="C1259" s="37">
        <f t="shared" si="53"/>
        <v>7426300</v>
      </c>
      <c r="D1259" s="11">
        <f t="shared" si="54"/>
        <v>222789</v>
      </c>
      <c r="E1259" s="11">
        <v>2000000</v>
      </c>
      <c r="F1259" s="11"/>
      <c r="G1259" s="11">
        <v>300000</v>
      </c>
      <c r="H1259" s="11"/>
      <c r="I1259" s="11">
        <f t="shared" si="55"/>
        <v>522789</v>
      </c>
    </row>
    <row r="1260" spans="1:9" x14ac:dyDescent="0.3">
      <c r="A1260" s="35">
        <v>29</v>
      </c>
      <c r="B1260" s="36" t="str">
        <f t="shared" si="52"/>
        <v>Siti Nurmahmudah</v>
      </c>
      <c r="C1260" s="37">
        <f t="shared" si="53"/>
        <v>10000000</v>
      </c>
      <c r="D1260" s="11">
        <f t="shared" si="54"/>
        <v>300000</v>
      </c>
      <c r="E1260" s="11">
        <v>6500000</v>
      </c>
      <c r="F1260" s="11"/>
      <c r="G1260" s="11">
        <v>1000000</v>
      </c>
      <c r="H1260" s="11"/>
      <c r="I1260" s="11">
        <f t="shared" si="55"/>
        <v>1300000</v>
      </c>
    </row>
    <row r="1261" spans="1:9" x14ac:dyDescent="0.3">
      <c r="A1261" s="35">
        <v>30</v>
      </c>
      <c r="B1261" s="36" t="str">
        <f t="shared" si="52"/>
        <v>Saeman</v>
      </c>
      <c r="C1261" s="37">
        <f t="shared" si="53"/>
        <v>2000000</v>
      </c>
      <c r="D1261" s="11">
        <f t="shared" si="54"/>
        <v>60000</v>
      </c>
      <c r="E1261" s="11">
        <v>7000000</v>
      </c>
      <c r="F1261" s="11"/>
      <c r="G1261" s="11"/>
      <c r="H1261" s="11"/>
      <c r="I1261" s="11">
        <f t="shared" si="55"/>
        <v>60000</v>
      </c>
    </row>
    <row r="1262" spans="1:9" x14ac:dyDescent="0.3">
      <c r="A1262" s="35">
        <v>31</v>
      </c>
      <c r="B1262" s="36" t="str">
        <f t="shared" si="52"/>
        <v>Sarto</v>
      </c>
      <c r="C1262" s="37">
        <f t="shared" si="53"/>
        <v>23982541</v>
      </c>
      <c r="D1262" s="11">
        <f t="shared" si="54"/>
        <v>719476.23</v>
      </c>
      <c r="E1262" s="11">
        <v>2000000</v>
      </c>
      <c r="F1262" s="11"/>
      <c r="G1262" s="11"/>
      <c r="H1262" s="11"/>
      <c r="I1262" s="11">
        <f t="shared" si="55"/>
        <v>719476.23</v>
      </c>
    </row>
    <row r="1263" spans="1:9" x14ac:dyDescent="0.3">
      <c r="A1263" s="35">
        <v>32</v>
      </c>
      <c r="B1263" s="36" t="str">
        <f t="shared" si="52"/>
        <v>Sholik 9</v>
      </c>
      <c r="C1263" s="37">
        <f t="shared" si="53"/>
        <v>7821278</v>
      </c>
      <c r="D1263" s="11">
        <f t="shared" si="54"/>
        <v>234638.34</v>
      </c>
      <c r="E1263" s="11">
        <v>9600000</v>
      </c>
      <c r="F1263" s="11"/>
      <c r="G1263" s="11">
        <f>C1263-E1263</f>
        <v>-1778722</v>
      </c>
      <c r="H1263" s="11"/>
      <c r="I1263" s="11">
        <f t="shared" si="55"/>
        <v>-1544083.66</v>
      </c>
    </row>
    <row r="1264" spans="1:9" x14ac:dyDescent="0.3">
      <c r="A1264" s="35">
        <v>33</v>
      </c>
      <c r="B1264" s="36" t="str">
        <f t="shared" si="52"/>
        <v>Siono</v>
      </c>
      <c r="C1264" s="37">
        <f t="shared" si="53"/>
        <v>9911261</v>
      </c>
      <c r="D1264" s="11">
        <f t="shared" si="54"/>
        <v>297337.83</v>
      </c>
      <c r="E1264" s="11">
        <v>6000000</v>
      </c>
      <c r="F1264" s="11"/>
      <c r="G1264" s="11">
        <f>C1264-E1264</f>
        <v>3911261</v>
      </c>
      <c r="H1264" s="11"/>
      <c r="I1264" s="11">
        <f t="shared" si="55"/>
        <v>4208598.83</v>
      </c>
    </row>
    <row r="1265" spans="1:9" x14ac:dyDescent="0.3">
      <c r="A1265" s="35">
        <v>34</v>
      </c>
      <c r="B1265" s="36" t="str">
        <f t="shared" si="52"/>
        <v>Sumadi</v>
      </c>
      <c r="C1265" s="37">
        <f t="shared" si="53"/>
        <v>5500000</v>
      </c>
      <c r="D1265" s="11">
        <f t="shared" si="54"/>
        <v>165000</v>
      </c>
      <c r="E1265" s="11">
        <v>5500000</v>
      </c>
      <c r="F1265" s="11"/>
      <c r="G1265" s="11">
        <f>C1265-E1265</f>
        <v>0</v>
      </c>
      <c r="H1265" s="11"/>
      <c r="I1265" s="11">
        <f t="shared" si="55"/>
        <v>165000</v>
      </c>
    </row>
    <row r="1266" spans="1:9" x14ac:dyDescent="0.3">
      <c r="A1266" s="35">
        <v>35</v>
      </c>
      <c r="B1266" s="36" t="str">
        <f t="shared" si="52"/>
        <v>Sumar</v>
      </c>
      <c r="C1266" s="37">
        <f t="shared" si="53"/>
        <v>14500000</v>
      </c>
      <c r="D1266" s="11">
        <f t="shared" si="54"/>
        <v>435000</v>
      </c>
      <c r="E1266" s="11">
        <v>4000000</v>
      </c>
      <c r="F1266" s="11"/>
      <c r="G1266" s="11">
        <v>2000000</v>
      </c>
      <c r="H1266" s="11"/>
      <c r="I1266" s="11">
        <f t="shared" si="55"/>
        <v>2435000</v>
      </c>
    </row>
    <row r="1267" spans="1:9" x14ac:dyDescent="0.3">
      <c r="A1267" s="35">
        <v>36</v>
      </c>
      <c r="B1267" s="36" t="str">
        <f t="shared" si="52"/>
        <v>Sunamah</v>
      </c>
      <c r="C1267" s="37">
        <f t="shared" si="53"/>
        <v>8000000</v>
      </c>
      <c r="D1267" s="11">
        <f t="shared" si="54"/>
        <v>240000</v>
      </c>
      <c r="E1267" s="11">
        <v>5500000</v>
      </c>
      <c r="F1267" s="11"/>
      <c r="G1267" s="11">
        <f>C1267-E1267</f>
        <v>2500000</v>
      </c>
      <c r="H1267" s="11"/>
      <c r="I1267" s="11">
        <f t="shared" si="55"/>
        <v>2740000</v>
      </c>
    </row>
    <row r="1268" spans="1:9" x14ac:dyDescent="0.3">
      <c r="A1268" s="35">
        <v>37</v>
      </c>
      <c r="B1268" s="36" t="str">
        <f t="shared" si="52"/>
        <v>Supiani</v>
      </c>
      <c r="C1268" s="37">
        <f t="shared" si="53"/>
        <v>12000000</v>
      </c>
      <c r="D1268" s="11">
        <f t="shared" si="54"/>
        <v>360000</v>
      </c>
      <c r="E1268" s="11">
        <v>2000000</v>
      </c>
      <c r="F1268" s="11"/>
      <c r="G1268" s="11">
        <f>C1268-E1268</f>
        <v>10000000</v>
      </c>
      <c r="H1268" s="11"/>
      <c r="I1268" s="11">
        <f t="shared" si="55"/>
        <v>10360000</v>
      </c>
    </row>
    <row r="1269" spans="1:9" x14ac:dyDescent="0.3">
      <c r="A1269" s="35">
        <v>38</v>
      </c>
      <c r="B1269" s="36" t="str">
        <f t="shared" si="52"/>
        <v>Supriaji</v>
      </c>
      <c r="C1269" s="37">
        <f t="shared" si="53"/>
        <v>7330000</v>
      </c>
      <c r="D1269" s="11">
        <f t="shared" si="54"/>
        <v>219900</v>
      </c>
      <c r="E1269" s="11">
        <v>10000000</v>
      </c>
      <c r="F1269" s="11"/>
      <c r="G1269" s="11">
        <f>C1269-E1269</f>
        <v>-2670000</v>
      </c>
      <c r="H1269" s="11"/>
      <c r="I1269" s="11">
        <f t="shared" si="55"/>
        <v>-2450100</v>
      </c>
    </row>
    <row r="1270" spans="1:9" x14ac:dyDescent="0.3">
      <c r="A1270" s="35">
        <v>39</v>
      </c>
      <c r="B1270" s="36" t="str">
        <f t="shared" si="52"/>
        <v>Suwanan/Iksan</v>
      </c>
      <c r="C1270" s="37">
        <f t="shared" si="53"/>
        <v>1500000</v>
      </c>
      <c r="D1270" s="11">
        <f t="shared" si="54"/>
        <v>45000</v>
      </c>
      <c r="E1270" s="11">
        <v>4000000</v>
      </c>
      <c r="F1270" s="11"/>
      <c r="G1270" s="11">
        <v>3000000</v>
      </c>
      <c r="H1270" s="11"/>
      <c r="I1270" s="11">
        <f t="shared" si="55"/>
        <v>3045000</v>
      </c>
    </row>
    <row r="1271" spans="1:9" x14ac:dyDescent="0.3">
      <c r="A1271" s="35">
        <v>40</v>
      </c>
      <c r="B1271" s="36" t="str">
        <f t="shared" si="52"/>
        <v>Suwari</v>
      </c>
      <c r="C1271" s="37">
        <f t="shared" si="53"/>
        <v>9500000</v>
      </c>
      <c r="D1271" s="11">
        <f t="shared" si="54"/>
        <v>285000</v>
      </c>
      <c r="E1271" s="11">
        <v>1000000</v>
      </c>
      <c r="F1271" s="11"/>
      <c r="G1271" s="11">
        <v>1000000</v>
      </c>
      <c r="H1271" s="11"/>
      <c r="I1271" s="11">
        <f t="shared" si="55"/>
        <v>1285000</v>
      </c>
    </row>
    <row r="1272" spans="1:9" x14ac:dyDescent="0.3">
      <c r="A1272" s="35">
        <v>41</v>
      </c>
      <c r="B1272" s="36" t="str">
        <f t="shared" si="52"/>
        <v>Suyono 2</v>
      </c>
      <c r="C1272" s="37">
        <f t="shared" si="53"/>
        <v>2000000</v>
      </c>
      <c r="D1272" s="11">
        <f t="shared" si="54"/>
        <v>60000</v>
      </c>
      <c r="E1272" s="11">
        <v>8500000</v>
      </c>
      <c r="F1272" s="11"/>
      <c r="G1272" s="11"/>
      <c r="H1272" s="11"/>
      <c r="I1272" s="11">
        <f t="shared" si="55"/>
        <v>60000</v>
      </c>
    </row>
    <row r="1273" spans="1:9" x14ac:dyDescent="0.3">
      <c r="A1273" s="35">
        <v>42</v>
      </c>
      <c r="B1273" s="36" t="str">
        <f t="shared" si="52"/>
        <v>Tisno</v>
      </c>
      <c r="C1273" s="37">
        <f t="shared" si="53"/>
        <v>4000000</v>
      </c>
      <c r="D1273" s="11">
        <f t="shared" si="54"/>
        <v>120000</v>
      </c>
      <c r="E1273" s="38">
        <v>2000000</v>
      </c>
      <c r="F1273" s="38"/>
      <c r="G1273" s="38"/>
      <c r="H1273" s="11"/>
      <c r="I1273" s="11">
        <f t="shared" si="55"/>
        <v>120000</v>
      </c>
    </row>
    <row r="1274" spans="1:9" x14ac:dyDescent="0.3">
      <c r="A1274" s="35">
        <v>43</v>
      </c>
      <c r="B1274" s="36" t="str">
        <f t="shared" si="52"/>
        <v>Umi Kulsum</v>
      </c>
      <c r="C1274" s="37">
        <f t="shared" si="53"/>
        <v>2000000</v>
      </c>
      <c r="D1274" s="11">
        <f t="shared" si="54"/>
        <v>60000</v>
      </c>
      <c r="E1274" s="38">
        <v>4000000</v>
      </c>
      <c r="F1274" s="38"/>
      <c r="G1274" s="38">
        <v>1000000</v>
      </c>
      <c r="H1274" s="11"/>
      <c r="I1274" s="11">
        <f t="shared" si="55"/>
        <v>1060000</v>
      </c>
    </row>
    <row r="1275" spans="1:9" x14ac:dyDescent="0.3">
      <c r="A1275" s="35">
        <v>44</v>
      </c>
      <c r="B1275" s="36" t="str">
        <f t="shared" si="52"/>
        <v>Rofiq</v>
      </c>
      <c r="C1275" s="37">
        <f t="shared" si="53"/>
        <v>5000000</v>
      </c>
      <c r="D1275" s="11">
        <f t="shared" si="54"/>
        <v>150000</v>
      </c>
      <c r="E1275" s="38">
        <v>1500000</v>
      </c>
      <c r="F1275" s="38"/>
      <c r="G1275" s="38">
        <f>C1275-E1275</f>
        <v>3500000</v>
      </c>
      <c r="H1275" s="11"/>
      <c r="I1275" s="11">
        <f t="shared" si="55"/>
        <v>3650000</v>
      </c>
    </row>
    <row r="1276" spans="1:9" x14ac:dyDescent="0.3">
      <c r="A1276" s="35">
        <v>45</v>
      </c>
      <c r="B1276" s="36" t="str">
        <f t="shared" si="52"/>
        <v>Siti Fatimah</v>
      </c>
      <c r="C1276" s="37">
        <f t="shared" si="53"/>
        <v>1658634</v>
      </c>
      <c r="D1276" s="11">
        <f t="shared" si="54"/>
        <v>49759.02</v>
      </c>
      <c r="E1276" s="11">
        <v>9900000</v>
      </c>
      <c r="F1276" s="11"/>
      <c r="G1276" s="11">
        <f>C1276-E1276</f>
        <v>-8241366</v>
      </c>
      <c r="H1276" s="11"/>
      <c r="I1276" s="11">
        <f t="shared" si="55"/>
        <v>-8191606.9800000004</v>
      </c>
    </row>
    <row r="1277" spans="1:9" x14ac:dyDescent="0.3">
      <c r="A1277" s="39">
        <v>46</v>
      </c>
      <c r="B1277" s="36" t="str">
        <f t="shared" si="52"/>
        <v>Zumaroh</v>
      </c>
      <c r="C1277" s="37">
        <f t="shared" si="53"/>
        <v>7000000</v>
      </c>
      <c r="D1277" s="11">
        <f t="shared" si="54"/>
        <v>210000</v>
      </c>
      <c r="E1277" s="41">
        <v>3000000</v>
      </c>
      <c r="F1277" s="41"/>
      <c r="G1277" s="41"/>
      <c r="H1277" s="40"/>
      <c r="I1277" s="11">
        <f t="shared" si="55"/>
        <v>210000</v>
      </c>
    </row>
    <row r="1278" spans="1:9" x14ac:dyDescent="0.3">
      <c r="A1278" s="35">
        <v>47</v>
      </c>
      <c r="B1278" s="36" t="str">
        <f t="shared" si="52"/>
        <v>Ning Husniah</v>
      </c>
      <c r="C1278" s="37">
        <f t="shared" si="53"/>
        <v>2500000</v>
      </c>
      <c r="D1278" s="11">
        <f t="shared" si="54"/>
        <v>75000</v>
      </c>
      <c r="E1278" s="38">
        <v>1000000</v>
      </c>
      <c r="F1278" s="38"/>
      <c r="G1278" s="38"/>
      <c r="H1278" s="11"/>
      <c r="I1278" s="11">
        <f t="shared" si="55"/>
        <v>75000</v>
      </c>
    </row>
    <row r="1279" spans="1:9" x14ac:dyDescent="0.3">
      <c r="A1279" s="35">
        <v>48</v>
      </c>
      <c r="B1279" s="36" t="str">
        <f t="shared" si="52"/>
        <v>Lu'luur R</v>
      </c>
      <c r="C1279" s="37">
        <f t="shared" si="53"/>
        <v>1030000</v>
      </c>
      <c r="D1279" s="11">
        <f t="shared" si="54"/>
        <v>30900</v>
      </c>
      <c r="E1279" s="11">
        <v>7000000</v>
      </c>
      <c r="F1279" s="11"/>
      <c r="G1279" s="11">
        <v>2000000</v>
      </c>
      <c r="H1279" s="11"/>
      <c r="I1279" s="11">
        <f t="shared" si="55"/>
        <v>2030900</v>
      </c>
    </row>
    <row r="1280" spans="1:9" x14ac:dyDescent="0.3">
      <c r="A1280" s="35">
        <v>49</v>
      </c>
      <c r="B1280" s="36" t="str">
        <f t="shared" si="52"/>
        <v>Umar</v>
      </c>
      <c r="C1280" s="37">
        <f t="shared" si="53"/>
        <v>2000000</v>
      </c>
      <c r="D1280" s="11">
        <f t="shared" si="54"/>
        <v>60000</v>
      </c>
      <c r="E1280" s="11">
        <v>1500000</v>
      </c>
      <c r="F1280" s="11"/>
      <c r="G1280" s="11">
        <v>2000000</v>
      </c>
      <c r="H1280" s="11"/>
      <c r="I1280" s="11">
        <f t="shared" si="55"/>
        <v>2060000</v>
      </c>
    </row>
    <row r="1281" spans="1:9" x14ac:dyDescent="0.3">
      <c r="A1281" s="35">
        <v>50</v>
      </c>
      <c r="B1281" s="36" t="str">
        <f t="shared" si="52"/>
        <v>Ana/Bu Khoiri</v>
      </c>
      <c r="C1281" s="37">
        <f t="shared" si="53"/>
        <v>18583023</v>
      </c>
      <c r="D1281" s="11">
        <f t="shared" si="54"/>
        <v>557490.68999999994</v>
      </c>
      <c r="E1281" s="11">
        <v>1000000</v>
      </c>
      <c r="F1281" s="11"/>
      <c r="G1281" s="11"/>
      <c r="H1281" s="11"/>
      <c r="I1281" s="11">
        <f t="shared" si="55"/>
        <v>557490.68999999994</v>
      </c>
    </row>
    <row r="1282" spans="1:9" x14ac:dyDescent="0.3">
      <c r="A1282" s="35">
        <v>51</v>
      </c>
      <c r="B1282" s="36" t="str">
        <f t="shared" si="52"/>
        <v>Anik Mahsunah W</v>
      </c>
      <c r="C1282" s="37">
        <f t="shared" si="53"/>
        <v>500000</v>
      </c>
      <c r="D1282" s="11">
        <f t="shared" si="54"/>
        <v>15000</v>
      </c>
      <c r="E1282" s="11"/>
      <c r="F1282" s="11"/>
      <c r="G1282" s="11">
        <v>500000</v>
      </c>
      <c r="H1282" s="11"/>
      <c r="I1282" s="11">
        <f t="shared" si="55"/>
        <v>515000</v>
      </c>
    </row>
    <row r="1283" spans="1:9" x14ac:dyDescent="0.3">
      <c r="A1283" s="35">
        <v>52</v>
      </c>
      <c r="B1283" s="36" t="str">
        <f t="shared" si="52"/>
        <v>Fajrul Ummah</v>
      </c>
      <c r="C1283" s="37">
        <f t="shared" si="53"/>
        <v>13598220</v>
      </c>
      <c r="D1283" s="11">
        <f t="shared" si="54"/>
        <v>407946.6</v>
      </c>
      <c r="E1283" s="38">
        <v>16500000</v>
      </c>
      <c r="F1283" s="38"/>
      <c r="G1283" s="38">
        <f>C1283-E1283</f>
        <v>-2901780</v>
      </c>
      <c r="H1283" s="11"/>
      <c r="I1283" s="11">
        <f t="shared" si="55"/>
        <v>-2493833.4</v>
      </c>
    </row>
    <row r="1284" spans="1:9" x14ac:dyDescent="0.3">
      <c r="A1284" s="35">
        <v>53</v>
      </c>
      <c r="B1284" s="36" t="str">
        <f t="shared" si="52"/>
        <v>Imam Masrodin</v>
      </c>
      <c r="C1284" s="37">
        <f t="shared" si="53"/>
        <v>3000000</v>
      </c>
      <c r="D1284" s="11">
        <f t="shared" si="54"/>
        <v>90000</v>
      </c>
      <c r="E1284" s="38">
        <v>500000</v>
      </c>
      <c r="F1284" s="38"/>
      <c r="G1284" s="38">
        <v>300000</v>
      </c>
      <c r="H1284" s="11"/>
      <c r="I1284" s="11">
        <f t="shared" si="55"/>
        <v>390000</v>
      </c>
    </row>
    <row r="1285" spans="1:9" x14ac:dyDescent="0.3">
      <c r="A1285" s="35">
        <v>54</v>
      </c>
      <c r="B1285" s="36" t="str">
        <f t="shared" si="52"/>
        <v>Muayanah</v>
      </c>
      <c r="C1285" s="37">
        <f t="shared" si="53"/>
        <v>19000000</v>
      </c>
      <c r="D1285" s="11">
        <f t="shared" si="54"/>
        <v>570000</v>
      </c>
      <c r="E1285" s="38">
        <v>7300000</v>
      </c>
      <c r="F1285" s="38"/>
      <c r="G1285" s="38">
        <f>C1285-E1285</f>
        <v>11700000</v>
      </c>
      <c r="H1285" s="11"/>
      <c r="I1285" s="11">
        <f t="shared" si="55"/>
        <v>12270000</v>
      </c>
    </row>
    <row r="1286" spans="1:9" x14ac:dyDescent="0.3">
      <c r="A1286" s="35">
        <v>55</v>
      </c>
      <c r="B1286" s="36" t="str">
        <f t="shared" si="52"/>
        <v>Siswanto</v>
      </c>
      <c r="C1286" s="37">
        <f t="shared" si="53"/>
        <v>14500000</v>
      </c>
      <c r="D1286" s="11">
        <f t="shared" si="54"/>
        <v>435000</v>
      </c>
      <c r="E1286" s="38">
        <v>2500000</v>
      </c>
      <c r="F1286" s="38"/>
      <c r="G1286" s="38">
        <v>500000</v>
      </c>
      <c r="H1286" s="11"/>
      <c r="I1286" s="11">
        <f t="shared" si="55"/>
        <v>935000</v>
      </c>
    </row>
    <row r="1287" spans="1:9" x14ac:dyDescent="0.3">
      <c r="A1287" s="35">
        <v>56</v>
      </c>
      <c r="B1287" s="36" t="str">
        <f t="shared" si="52"/>
        <v>Bin Asiyah</v>
      </c>
      <c r="C1287" s="37">
        <f t="shared" si="53"/>
        <v>17000000</v>
      </c>
      <c r="D1287" s="11">
        <f t="shared" si="54"/>
        <v>510000</v>
      </c>
      <c r="E1287" s="38">
        <v>6000000</v>
      </c>
      <c r="F1287" s="38"/>
      <c r="G1287" s="38"/>
      <c r="H1287" s="11"/>
      <c r="I1287" s="11">
        <f t="shared" si="55"/>
        <v>510000</v>
      </c>
    </row>
    <row r="1288" spans="1:9" x14ac:dyDescent="0.3">
      <c r="A1288" s="35">
        <v>57</v>
      </c>
      <c r="B1288" s="36" t="str">
        <f t="shared" si="52"/>
        <v>Tayem</v>
      </c>
      <c r="C1288" s="37">
        <f t="shared" si="53"/>
        <v>1000000</v>
      </c>
      <c r="D1288" s="11">
        <f t="shared" si="54"/>
        <v>30000</v>
      </c>
      <c r="E1288" s="38">
        <v>14500000</v>
      </c>
      <c r="F1288" s="38"/>
      <c r="G1288" s="38">
        <v>500000</v>
      </c>
      <c r="H1288" s="11"/>
      <c r="I1288" s="11">
        <f t="shared" si="55"/>
        <v>530000</v>
      </c>
    </row>
    <row r="1289" spans="1:9" x14ac:dyDescent="0.3">
      <c r="A1289" s="35">
        <v>58</v>
      </c>
      <c r="B1289" s="36" t="str">
        <f t="shared" si="52"/>
        <v>Sholahuddin Afif</v>
      </c>
      <c r="C1289" s="37">
        <f t="shared" si="53"/>
        <v>2500000</v>
      </c>
      <c r="D1289" s="11">
        <f t="shared" si="54"/>
        <v>75000</v>
      </c>
      <c r="E1289" s="38">
        <v>13000000</v>
      </c>
      <c r="F1289" s="38"/>
      <c r="G1289" s="38">
        <f>C1289-E1289</f>
        <v>-10500000</v>
      </c>
      <c r="H1289" s="38"/>
      <c r="I1289" s="11">
        <f t="shared" si="55"/>
        <v>-10425000</v>
      </c>
    </row>
    <row r="1290" spans="1:9" x14ac:dyDescent="0.3">
      <c r="A1290" s="35">
        <v>59</v>
      </c>
      <c r="B1290" s="36" t="str">
        <f t="shared" si="52"/>
        <v>Masithah</v>
      </c>
      <c r="C1290" s="37">
        <f t="shared" si="53"/>
        <v>3000000</v>
      </c>
      <c r="D1290" s="11">
        <f t="shared" si="54"/>
        <v>90000</v>
      </c>
      <c r="E1290" s="11">
        <v>1000000</v>
      </c>
      <c r="F1290" s="11"/>
      <c r="G1290" s="11"/>
      <c r="H1290" s="11"/>
      <c r="I1290" s="11">
        <f t="shared" si="55"/>
        <v>90000</v>
      </c>
    </row>
    <row r="1291" spans="1:9" x14ac:dyDescent="0.3">
      <c r="A1291" s="35">
        <v>60</v>
      </c>
      <c r="B1291" s="36" t="str">
        <f t="shared" si="52"/>
        <v>Rikayati</v>
      </c>
      <c r="C1291" s="37">
        <f t="shared" si="53"/>
        <v>1500000</v>
      </c>
      <c r="D1291" s="11">
        <f t="shared" si="54"/>
        <v>45000</v>
      </c>
      <c r="E1291" s="11"/>
      <c r="F1291" s="11"/>
      <c r="G1291" s="11">
        <v>3000000</v>
      </c>
      <c r="H1291" s="11"/>
      <c r="I1291" s="11">
        <f t="shared" si="55"/>
        <v>3045000</v>
      </c>
    </row>
    <row r="1292" spans="1:9" x14ac:dyDescent="0.3">
      <c r="A1292" s="35">
        <v>61</v>
      </c>
      <c r="B1292" s="36" t="str">
        <f t="shared" si="52"/>
        <v>Misbahuddin</v>
      </c>
      <c r="C1292" s="37">
        <f t="shared" si="53"/>
        <v>0</v>
      </c>
      <c r="D1292" s="11">
        <f t="shared" si="54"/>
        <v>0</v>
      </c>
      <c r="E1292" s="11">
        <v>1500000</v>
      </c>
      <c r="F1292" s="11"/>
      <c r="G1292" s="11">
        <v>500000</v>
      </c>
      <c r="H1292" s="11"/>
      <c r="I1292" s="11">
        <f t="shared" si="55"/>
        <v>500000</v>
      </c>
    </row>
    <row r="1293" spans="1:9" x14ac:dyDescent="0.3">
      <c r="A1293" s="35">
        <v>62</v>
      </c>
      <c r="B1293" s="36" t="str">
        <f t="shared" si="52"/>
        <v>Munisah</v>
      </c>
      <c r="C1293" s="37">
        <f t="shared" si="53"/>
        <v>0</v>
      </c>
      <c r="D1293" s="11">
        <f t="shared" si="54"/>
        <v>0</v>
      </c>
      <c r="E1293" s="38">
        <v>500000</v>
      </c>
      <c r="F1293" s="11"/>
      <c r="G1293" s="11">
        <v>500000</v>
      </c>
      <c r="H1293" s="11"/>
      <c r="I1293" s="11">
        <f t="shared" si="55"/>
        <v>500000</v>
      </c>
    </row>
    <row r="1294" spans="1:9" x14ac:dyDescent="0.3">
      <c r="A1294" s="35">
        <v>63</v>
      </c>
      <c r="B1294" s="36">
        <f t="shared" si="52"/>
        <v>0</v>
      </c>
      <c r="C1294" s="37"/>
      <c r="D1294" s="11"/>
      <c r="E1294" s="38"/>
      <c r="F1294" s="43"/>
      <c r="G1294" s="11"/>
      <c r="H1294" s="11"/>
      <c r="I1294" s="11">
        <f t="shared" si="55"/>
        <v>0</v>
      </c>
    </row>
    <row r="1295" spans="1:9" ht="17.25" thickBot="1" x14ac:dyDescent="0.35">
      <c r="A1295" s="44" t="s">
        <v>13</v>
      </c>
      <c r="B1295" s="45"/>
      <c r="C1295" s="46">
        <f>SUM(C1232:C1294)</f>
        <v>363009257</v>
      </c>
      <c r="D1295" s="47">
        <f>SUM(D1232:D1294)</f>
        <v>10890277.709999999</v>
      </c>
      <c r="E1295" s="15">
        <f>SUM(E1232:E1294)</f>
        <v>273000000</v>
      </c>
      <c r="F1295" s="15">
        <f>SUM(F1232:F1294)</f>
        <v>0</v>
      </c>
      <c r="G1295" s="16">
        <f>SUM(G1233:G1294)</f>
        <v>37919393</v>
      </c>
      <c r="H1295" s="16">
        <f>SUM(H1232:H1294)</f>
        <v>0</v>
      </c>
      <c r="I1295" s="17">
        <f>SUM(I1232:I1294)</f>
        <v>51309670.710000001</v>
      </c>
    </row>
    <row r="1296" spans="1:9" x14ac:dyDescent="0.3">
      <c r="C1296" s="49"/>
      <c r="D1296" s="50"/>
      <c r="E1296" s="50"/>
      <c r="F1296" s="50"/>
      <c r="I1296" s="19"/>
    </row>
    <row r="1297" spans="1:8" x14ac:dyDescent="0.3">
      <c r="H1297" s="2" t="s">
        <v>100</v>
      </c>
    </row>
    <row r="1301" spans="1:8" s="3" customFormat="1" x14ac:dyDescent="0.3">
      <c r="A1301" s="2"/>
      <c r="B1301" s="2"/>
      <c r="C1301" s="2"/>
      <c r="D1301" s="2"/>
      <c r="E1301" s="2"/>
      <c r="F1301" s="2"/>
      <c r="G1301" s="2"/>
      <c r="H1301" s="51" t="s">
        <v>15</v>
      </c>
    </row>
  </sheetData>
  <mergeCells count="60">
    <mergeCell ref="A1183:B1183"/>
    <mergeCell ref="A1228:I1228"/>
    <mergeCell ref="A1230:A1231"/>
    <mergeCell ref="B1230:B1231"/>
    <mergeCell ref="C1230:C1231"/>
    <mergeCell ref="A1295:B1295"/>
    <mergeCell ref="A1007:A1008"/>
    <mergeCell ref="B1007:B1008"/>
    <mergeCell ref="C1007:C1008"/>
    <mergeCell ref="A1071:B1071"/>
    <mergeCell ref="A1116:I1116"/>
    <mergeCell ref="A1118:A1119"/>
    <mergeCell ref="B1118:B1119"/>
    <mergeCell ref="C1118:C1119"/>
    <mergeCell ref="A894:I894"/>
    <mergeCell ref="A896:A897"/>
    <mergeCell ref="B896:B897"/>
    <mergeCell ref="C896:C897"/>
    <mergeCell ref="A960:B960"/>
    <mergeCell ref="A1005:I1005"/>
    <mergeCell ref="A737:B737"/>
    <mergeCell ref="A782:I782"/>
    <mergeCell ref="A784:A785"/>
    <mergeCell ref="B784:B785"/>
    <mergeCell ref="C784:C785"/>
    <mergeCell ref="A849:B849"/>
    <mergeCell ref="A560:A561"/>
    <mergeCell ref="B560:B561"/>
    <mergeCell ref="C560:C561"/>
    <mergeCell ref="A625:B625"/>
    <mergeCell ref="A670:I670"/>
    <mergeCell ref="A672:A673"/>
    <mergeCell ref="B672:B673"/>
    <mergeCell ref="C672:C673"/>
    <mergeCell ref="A447:I447"/>
    <mergeCell ref="A449:A450"/>
    <mergeCell ref="B449:B450"/>
    <mergeCell ref="C449:C450"/>
    <mergeCell ref="A513:B513"/>
    <mergeCell ref="A558:I558"/>
    <mergeCell ref="A291:B291"/>
    <mergeCell ref="A336:I336"/>
    <mergeCell ref="A338:A339"/>
    <mergeCell ref="B338:B339"/>
    <mergeCell ref="C338:C339"/>
    <mergeCell ref="A402:B402"/>
    <mergeCell ref="A115:A116"/>
    <mergeCell ref="B115:B116"/>
    <mergeCell ref="C115:C116"/>
    <mergeCell ref="A182:B182"/>
    <mergeCell ref="A225:I225"/>
    <mergeCell ref="A227:A228"/>
    <mergeCell ref="B227:B228"/>
    <mergeCell ref="C227:C228"/>
    <mergeCell ref="A1:I1"/>
    <mergeCell ref="A3:A4"/>
    <mergeCell ref="B3:B4"/>
    <mergeCell ref="C3:C4"/>
    <mergeCell ref="A70:B70"/>
    <mergeCell ref="A113:I113"/>
  </mergeCells>
  <pageMargins left="0.51181102362204722" right="0.47244094488188981" top="0.62992125984251968" bottom="0.74803149606299213" header="7.874015748031496E-2" footer="0.31496062992125984"/>
  <pageSetup paperSize="10000" scale="92" orientation="portrait" horizontalDpi="4294967293" verticalDpi="4294967293" r:id="rId1"/>
  <rowBreaks count="11" manualBreakCount="11">
    <brk id="112" max="16383" man="1"/>
    <brk id="224" max="16383" man="1"/>
    <brk id="335" max="16383" man="1"/>
    <brk id="446" max="16383" man="1"/>
    <brk id="557" max="16383" man="1"/>
    <brk id="669" max="16383" man="1"/>
    <brk id="781" max="16383" man="1"/>
    <brk id="893" max="16383" man="1"/>
    <brk id="1004" max="16383" man="1"/>
    <brk id="1115" max="16383" man="1"/>
    <brk id="12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FATHUR ROHIM</dc:creator>
  <cp:lastModifiedBy>FATHUR ROHIM</cp:lastModifiedBy>
  <dcterms:created xsi:type="dcterms:W3CDTF">2026-06-21T14:09:09Z</dcterms:created>
  <dcterms:modified xsi:type="dcterms:W3CDTF">2026-06-21T14:09:31Z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2026-06-21T14:09:17Z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2929cddc-664c-4b5c-b569-d58ce1e6958f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